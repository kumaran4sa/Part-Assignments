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929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d.docs.live.net/2ef04d079e8828d2/Desktop/ENTRI/POWERBI/DAX/"/>
    </mc:Choice>
  </mc:AlternateContent>
  <xr:revisionPtr revIDLastSave="87" documentId="8_{33C2AFCB-D813-4756-BCEC-8B83EA833A6C}" xr6:coauthVersionLast="47" xr6:coauthVersionMax="47" xr10:uidLastSave="{3F0B474D-1449-4999-BE2D-503FEF866010}"/>
  <bookViews>
    <workbookView xWindow="-110" yWindow="-110" windowWidth="19420" windowHeight="10300" xr2:uid="{00000000-000D-0000-FFFF-FFFF00000000}"/>
  </bookViews>
  <sheets>
    <sheet name="Students" sheetId="1" r:id="rId1"/>
    <sheet name="Sales" sheetId="2" r:id="rId2"/>
    <sheet name="Products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O3" i="1" l="1"/>
  <c r="O2" i="1"/>
  <c r="O4" i="1"/>
  <c r="O5" i="1"/>
  <c r="O6" i="1"/>
  <c r="O7" i="1"/>
  <c r="O8" i="1"/>
  <c r="O9" i="1"/>
  <c r="O10" i="1"/>
  <c r="O11" i="1"/>
  <c r="O12" i="1"/>
  <c r="O13" i="1"/>
  <c r="O14" i="1"/>
  <c r="O15" i="1"/>
  <c r="O16" i="1"/>
  <c r="O17" i="1"/>
  <c r="O18" i="1"/>
  <c r="O19" i="1"/>
  <c r="O20" i="1"/>
  <c r="O21" i="1"/>
  <c r="O22" i="1"/>
  <c r="O23" i="1"/>
  <c r="O24" i="1"/>
  <c r="O25" i="1"/>
  <c r="O26" i="1"/>
  <c r="O27" i="1"/>
  <c r="O28" i="1"/>
  <c r="O29" i="1"/>
  <c r="O30" i="1"/>
  <c r="O31" i="1"/>
  <c r="O32" i="1"/>
  <c r="O33" i="1"/>
  <c r="O34" i="1"/>
  <c r="O35" i="1"/>
  <c r="O36" i="1"/>
  <c r="O37" i="1"/>
  <c r="O38" i="1"/>
  <c r="O39" i="1"/>
  <c r="O40" i="1"/>
  <c r="O41" i="1"/>
  <c r="M3" i="1"/>
  <c r="M2" i="1"/>
  <c r="N3" i="1"/>
  <c r="N2" i="1"/>
  <c r="N4" i="1"/>
  <c r="N5" i="1"/>
  <c r="N6" i="1"/>
  <c r="N7" i="1"/>
  <c r="N8" i="1"/>
  <c r="N9" i="1"/>
  <c r="N10" i="1"/>
  <c r="N11" i="1"/>
  <c r="N12" i="1"/>
  <c r="N13" i="1"/>
  <c r="N14" i="1"/>
  <c r="N15" i="1"/>
  <c r="N16" i="1"/>
  <c r="N17" i="1"/>
  <c r="N18" i="1"/>
  <c r="N19" i="1"/>
  <c r="N20" i="1"/>
  <c r="N21" i="1"/>
  <c r="N22" i="1"/>
  <c r="N23" i="1"/>
  <c r="N24" i="1"/>
  <c r="N25" i="1"/>
  <c r="N26" i="1"/>
  <c r="N27" i="1"/>
  <c r="N28" i="1"/>
  <c r="N29" i="1"/>
  <c r="N30" i="1"/>
  <c r="N31" i="1"/>
  <c r="N32" i="1"/>
  <c r="N33" i="1"/>
  <c r="N34" i="1"/>
  <c r="N35" i="1"/>
  <c r="N36" i="1"/>
  <c r="N37" i="1"/>
  <c r="N38" i="1"/>
  <c r="N39" i="1"/>
  <c r="N40" i="1"/>
  <c r="N41" i="1"/>
  <c r="M4" i="1"/>
  <c r="M5" i="1"/>
  <c r="M6" i="1"/>
  <c r="M7" i="1"/>
  <c r="M8" i="1"/>
  <c r="M9" i="1"/>
  <c r="M10" i="1"/>
  <c r="M11" i="1"/>
  <c r="M12" i="1"/>
  <c r="M13" i="1"/>
  <c r="M14" i="1"/>
  <c r="M15" i="1"/>
  <c r="M16" i="1"/>
  <c r="M17" i="1"/>
  <c r="M18" i="1"/>
  <c r="M19" i="1"/>
  <c r="M20" i="1"/>
  <c r="M21" i="1"/>
  <c r="M22" i="1"/>
  <c r="M23" i="1"/>
  <c r="M24" i="1"/>
  <c r="M25" i="1"/>
  <c r="M26" i="1"/>
  <c r="M27" i="1"/>
  <c r="M28" i="1"/>
  <c r="M29" i="1"/>
  <c r="M30" i="1"/>
  <c r="M31" i="1"/>
  <c r="M32" i="1"/>
  <c r="M33" i="1"/>
  <c r="M34" i="1"/>
  <c r="M35" i="1"/>
  <c r="M36" i="1"/>
  <c r="M37" i="1"/>
  <c r="M38" i="1"/>
  <c r="M39" i="1"/>
  <c r="M40" i="1"/>
  <c r="M41" i="1"/>
  <c r="B14" i="3"/>
  <c r="D63" i="2"/>
</calcChain>
</file>

<file path=xl/sharedStrings.xml><?xml version="1.0" encoding="utf-8"?>
<sst xmlns="http://schemas.openxmlformats.org/spreadsheetml/2006/main" count="688" uniqueCount="224">
  <si>
    <t>StudentID</t>
  </si>
  <si>
    <t>Name</t>
  </si>
  <si>
    <t>City</t>
  </si>
  <si>
    <t>Age</t>
  </si>
  <si>
    <t>Gender</t>
  </si>
  <si>
    <t>Grade</t>
  </si>
  <si>
    <t>Class</t>
  </si>
  <si>
    <t>TotalMarks</t>
  </si>
  <si>
    <t>Attendance</t>
  </si>
  <si>
    <t>BehaviourScore</t>
  </si>
  <si>
    <t>Enrolled</t>
  </si>
  <si>
    <t>AdmissionDate</t>
  </si>
  <si>
    <t>S001</t>
  </si>
  <si>
    <t>S002</t>
  </si>
  <si>
    <t>S003</t>
  </si>
  <si>
    <t>S004</t>
  </si>
  <si>
    <t>S005</t>
  </si>
  <si>
    <t>S006</t>
  </si>
  <si>
    <t>S007</t>
  </si>
  <si>
    <t>S008</t>
  </si>
  <si>
    <t>S009</t>
  </si>
  <si>
    <t>S010</t>
  </si>
  <si>
    <t>S011</t>
  </si>
  <si>
    <t>S012</t>
  </si>
  <si>
    <t>S013</t>
  </si>
  <si>
    <t>S014</t>
  </si>
  <si>
    <t>S015</t>
  </si>
  <si>
    <t>S016</t>
  </si>
  <si>
    <t>S017</t>
  </si>
  <si>
    <t>S018</t>
  </si>
  <si>
    <t>S019</t>
  </si>
  <si>
    <t>S020</t>
  </si>
  <si>
    <t>S021</t>
  </si>
  <si>
    <t>S022</t>
  </si>
  <si>
    <t>S023</t>
  </si>
  <si>
    <t>S024</t>
  </si>
  <si>
    <t>S025</t>
  </si>
  <si>
    <t>S026</t>
  </si>
  <si>
    <t>S027</t>
  </si>
  <si>
    <t>S028</t>
  </si>
  <si>
    <t>S029</t>
  </si>
  <si>
    <t>S030</t>
  </si>
  <si>
    <t>S031</t>
  </si>
  <si>
    <t>S032</t>
  </si>
  <si>
    <t>S033</t>
  </si>
  <si>
    <t>S034</t>
  </si>
  <si>
    <t>S035</t>
  </si>
  <si>
    <t>S036</t>
  </si>
  <si>
    <t>S037</t>
  </si>
  <si>
    <t>S038</t>
  </si>
  <si>
    <t>S039</t>
  </si>
  <si>
    <t>S040</t>
  </si>
  <si>
    <t>Arjun</t>
  </si>
  <si>
    <t>Bala</t>
  </si>
  <si>
    <t>Charan</t>
  </si>
  <si>
    <t>Divya</t>
  </si>
  <si>
    <t>Esha</t>
  </si>
  <si>
    <t>Farhan</t>
  </si>
  <si>
    <t>Gita</t>
  </si>
  <si>
    <t>Hari</t>
  </si>
  <si>
    <t>Isha</t>
  </si>
  <si>
    <t>Jeeva</t>
  </si>
  <si>
    <t>Kiran</t>
  </si>
  <si>
    <t>Lakshmi</t>
  </si>
  <si>
    <t>Manoj</t>
  </si>
  <si>
    <t>Nisha</t>
  </si>
  <si>
    <t>Om</t>
  </si>
  <si>
    <t>Priya</t>
  </si>
  <si>
    <t>Ravi</t>
  </si>
  <si>
    <t>Sneha</t>
  </si>
  <si>
    <t>Tina</t>
  </si>
  <si>
    <t>Uday</t>
  </si>
  <si>
    <t>Vikram</t>
  </si>
  <si>
    <t>Waseem</t>
  </si>
  <si>
    <t>Xavier</t>
  </si>
  <si>
    <t>Yamini</t>
  </si>
  <si>
    <t>Zara</t>
  </si>
  <si>
    <t>Anil</t>
  </si>
  <si>
    <t>Bhavya</t>
  </si>
  <si>
    <t>Chitra</t>
  </si>
  <si>
    <t>Dinesh</t>
  </si>
  <si>
    <t>Elena</t>
  </si>
  <si>
    <t>Faisal</t>
  </si>
  <si>
    <t>Gayathri</t>
  </si>
  <si>
    <t>Harish</t>
  </si>
  <si>
    <t>Irfan</t>
  </si>
  <si>
    <t>Jothi</t>
  </si>
  <si>
    <t>Kavya</t>
  </si>
  <si>
    <t>Lalit</t>
  </si>
  <si>
    <t>Meena</t>
  </si>
  <si>
    <t>Naveen</t>
  </si>
  <si>
    <t>Oviya</t>
  </si>
  <si>
    <t>Chennai</t>
  </si>
  <si>
    <t>Mumbai</t>
  </si>
  <si>
    <t>Delhi</t>
  </si>
  <si>
    <t>Hyderabad</t>
  </si>
  <si>
    <t>Bangalore</t>
  </si>
  <si>
    <t>Female</t>
  </si>
  <si>
    <t>C</t>
  </si>
  <si>
    <t>A</t>
  </si>
  <si>
    <t>B</t>
  </si>
  <si>
    <t>D</t>
  </si>
  <si>
    <t>10-B</t>
  </si>
  <si>
    <t>10-A</t>
  </si>
  <si>
    <t>OrderID</t>
  </si>
  <si>
    <t>Product</t>
  </si>
  <si>
    <t>Quantity</t>
  </si>
  <si>
    <t>UnitPrice</t>
  </si>
  <si>
    <t>Discount</t>
  </si>
  <si>
    <t>SaleDate</t>
  </si>
  <si>
    <t>SalesRep</t>
  </si>
  <si>
    <t>PaymentMode</t>
  </si>
  <si>
    <t>Rating</t>
  </si>
  <si>
    <t>ORD0001</t>
  </si>
  <si>
    <t>ORD0002</t>
  </si>
  <si>
    <t>ORD0003</t>
  </si>
  <si>
    <t>ORD0004</t>
  </si>
  <si>
    <t>ORD0005</t>
  </si>
  <si>
    <t>ORD0006</t>
  </si>
  <si>
    <t>ORD0007</t>
  </si>
  <si>
    <t>ORD0008</t>
  </si>
  <si>
    <t>ORD0009</t>
  </si>
  <si>
    <t>ORD0010</t>
  </si>
  <si>
    <t>ORD0011</t>
  </si>
  <si>
    <t>ORD0012</t>
  </si>
  <si>
    <t>ORD0013</t>
  </si>
  <si>
    <t>ORD0014</t>
  </si>
  <si>
    <t>ORD0015</t>
  </si>
  <si>
    <t>ORD0016</t>
  </si>
  <si>
    <t>ORD0017</t>
  </si>
  <si>
    <t>ORD0018</t>
  </si>
  <si>
    <t>ORD0019</t>
  </si>
  <si>
    <t>ORD0020</t>
  </si>
  <si>
    <t>ORD0021</t>
  </si>
  <si>
    <t>ORD0022</t>
  </si>
  <si>
    <t>ORD0023</t>
  </si>
  <si>
    <t>ORD0024</t>
  </si>
  <si>
    <t>ORD0025</t>
  </si>
  <si>
    <t>ORD0026</t>
  </si>
  <si>
    <t>ORD0027</t>
  </si>
  <si>
    <t>ORD0028</t>
  </si>
  <si>
    <t>ORD0029</t>
  </si>
  <si>
    <t>ORD0030</t>
  </si>
  <si>
    <t>ORD0031</t>
  </si>
  <si>
    <t>ORD0032</t>
  </si>
  <si>
    <t>ORD0033</t>
  </si>
  <si>
    <t>ORD0034</t>
  </si>
  <si>
    <t>ORD0035</t>
  </si>
  <si>
    <t>ORD0036</t>
  </si>
  <si>
    <t>ORD0037</t>
  </si>
  <si>
    <t>ORD0038</t>
  </si>
  <si>
    <t>ORD0039</t>
  </si>
  <si>
    <t>ORD0040</t>
  </si>
  <si>
    <t>ORD0041</t>
  </si>
  <si>
    <t>ORD0042</t>
  </si>
  <si>
    <t>ORD0043</t>
  </si>
  <si>
    <t>ORD0044</t>
  </si>
  <si>
    <t>ORD0045</t>
  </si>
  <si>
    <t>ORD0046</t>
  </si>
  <si>
    <t>ORD0047</t>
  </si>
  <si>
    <t>ORD0048</t>
  </si>
  <si>
    <t>ORD0049</t>
  </si>
  <si>
    <t>ORD0050</t>
  </si>
  <si>
    <t>ORD0051</t>
  </si>
  <si>
    <t>ORD0052</t>
  </si>
  <si>
    <t>ORD0053</t>
  </si>
  <si>
    <t>ORD0054</t>
  </si>
  <si>
    <t>ORD0055</t>
  </si>
  <si>
    <t>ORD0056</t>
  </si>
  <si>
    <t>ORD0057</t>
  </si>
  <si>
    <t>ORD0058</t>
  </si>
  <si>
    <t>ORD0059</t>
  </si>
  <si>
    <t>ORD0060</t>
  </si>
  <si>
    <t>Sharpener</t>
  </si>
  <si>
    <t>Pen</t>
  </si>
  <si>
    <t>Glue</t>
  </si>
  <si>
    <t>Pencil</t>
  </si>
  <si>
    <t>Marker</t>
  </si>
  <si>
    <t>Eraser</t>
  </si>
  <si>
    <t>Notebook</t>
  </si>
  <si>
    <t>Scale</t>
  </si>
  <si>
    <t>Folder</t>
  </si>
  <si>
    <t>Chart Paper</t>
  </si>
  <si>
    <t>Anu</t>
  </si>
  <si>
    <t>Kumar</t>
  </si>
  <si>
    <t>Deepa</t>
  </si>
  <si>
    <t>Fatima</t>
  </si>
  <si>
    <t>Card</t>
  </si>
  <si>
    <t>Cash</t>
  </si>
  <si>
    <t>Wallet</t>
  </si>
  <si>
    <t>UPI</t>
  </si>
  <si>
    <t>ProductID</t>
  </si>
  <si>
    <t>ProductName</t>
  </si>
  <si>
    <t>Category</t>
  </si>
  <si>
    <t>Brand</t>
  </si>
  <si>
    <t>StockQty</t>
  </si>
  <si>
    <t>Supplier</t>
  </si>
  <si>
    <t>IsActive</t>
  </si>
  <si>
    <t>AddedDate</t>
  </si>
  <si>
    <t>GST_Percent</t>
  </si>
  <si>
    <t>Weight(gm)</t>
  </si>
  <si>
    <t>ReorderLevel</t>
  </si>
  <si>
    <t>P001</t>
  </si>
  <si>
    <t>P002</t>
  </si>
  <si>
    <t>P003</t>
  </si>
  <si>
    <t>P004</t>
  </si>
  <si>
    <t>P005</t>
  </si>
  <si>
    <t>P006</t>
  </si>
  <si>
    <t>P007</t>
  </si>
  <si>
    <t>P008</t>
  </si>
  <si>
    <t>P009</t>
  </si>
  <si>
    <t>P010</t>
  </si>
  <si>
    <t>Writing</t>
  </si>
  <si>
    <t>Stationery</t>
  </si>
  <si>
    <t>Craft</t>
  </si>
  <si>
    <t>Classmate</t>
  </si>
  <si>
    <t>Camlin</t>
  </si>
  <si>
    <t>Cello</t>
  </si>
  <si>
    <t>EduMart</t>
  </si>
  <si>
    <t>ABC Supplies</t>
  </si>
  <si>
    <t>male</t>
  </si>
  <si>
    <t>Performance</t>
  </si>
  <si>
    <t>behaviour_Award</t>
  </si>
  <si>
    <t>Star_Studnet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</si>
</sst>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\ hh:mm:ss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164" fontId="0" fillId="0" borderId="0" xfId="0" applyNumberFormat="1"/>
    <xf numFmtId="0" fontId="1" fillId="0" borderId="1" xfId="0" applyFont="1" applyBorder="1" applyAlignment="1">
      <alignment horizontal="center" vertical="top"/>
    </xf>
    <xf numFmtId="1" fontId="0" fillId="0" borderId="0" xfId="0" applyNumberFormat="1"/>
  </cellXfs>
  <cellStyles count="1">
    <cellStyle name="Normal" xfId="0" builtinId="0"/>
  </cellStyles>
  <dxfs count="15">
    <dxf>
      <numFmt numFmtId="0" formatCode="General"/>
    </dxf>
    <dxf>
      <numFmt numFmtId="0" formatCode="General"/>
    </dxf>
    <dxf>
      <numFmt numFmtId="164" formatCode="yyyy\-mm\-dd\ hh:mm:ss"/>
    </dxf>
    <dxf>
      <border outline="0">
        <bottom style="thin">
          <color auto="1"/>
        </bottom>
      </border>
    </dxf>
    <dxf>
      <border outline="0">
        <top style="thin">
          <color auto="1"/>
        </top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top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  <dxf>
      <numFmt numFmtId="0" formatCode="General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top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  <dxf>
      <numFmt numFmtId="164" formatCode="yyyy\-mm\-dd\ hh:mm:ss"/>
    </dxf>
    <dxf>
      <border outline="0">
        <bottom style="thin">
          <color auto="1"/>
        </bottom>
      </border>
    </dxf>
    <dxf>
      <border outline="0">
        <top style="thin">
          <color auto="1"/>
        </top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top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  <dxf>
      <numFmt numFmtId="164" formatCode="yyyy\-mm\-dd\ hh:mm:ss"/>
    </dxf>
    <dxf>
      <border outline="0">
        <bottom style="thin">
          <color auto="1"/>
        </bottom>
      </border>
    </dxf>
    <dxf>
      <border outline="0">
        <top style="thin">
          <color auto="1"/>
        </top>
      </border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microsoft.com/office/2017/10/relationships/person" Target="persons/perso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E9608A3B-3FA9-4790-A99A-D105E63A8C37}" name="Table1" displayName="Table1" ref="A1:O41" totalsRowShown="0" headerRowDxfId="5" headerRowBorderDxfId="3" tableBorderDxfId="4">
  <autoFilter ref="A1:O41" xr:uid="{E9608A3B-3FA9-4790-A99A-D105E63A8C37}"/>
  <tableColumns count="15">
    <tableColumn id="1" xr3:uid="{1A4A5ACC-E540-4DF4-9A5E-F1581F4D9C48}" name="StudentID"/>
    <tableColumn id="2" xr3:uid="{93008C29-68F2-4AB3-9DAB-6B372D20491C}" name="Name"/>
    <tableColumn id="3" xr3:uid="{291B0A99-B6EA-49ED-AA2E-E8B0B7FD4213}" name="City"/>
    <tableColumn id="4" xr3:uid="{6E861A61-A660-4224-8D7D-14E5E59B16FE}" name="Age"/>
    <tableColumn id="5" xr3:uid="{B6ABAB89-1A2F-4415-8D1E-C3B9D4F49B4B}" name="Gender"/>
    <tableColumn id="6" xr3:uid="{366B5E36-AD00-4510-AD7F-EEB1A9AC6CBB}" name="Grade"/>
    <tableColumn id="7" xr3:uid="{0642C6DD-E057-408A-9AFE-BA308FE2E502}" name="Class"/>
    <tableColumn id="8" xr3:uid="{FFF97D6A-3DE9-495D-8331-12C5F7DD631A}" name="TotalMarks"/>
    <tableColumn id="9" xr3:uid="{2C5B32A3-8966-4F9C-8CC1-31DA16BC59AC}" name="Attendance"/>
    <tableColumn id="10" xr3:uid="{6CC3FB94-FA21-4F9C-8656-FB5EDFA37096}" name="BehaviourScore"/>
    <tableColumn id="11" xr3:uid="{E8DE482E-F0F6-42B8-8DC2-381226A8977B}" name="Enrolled"/>
    <tableColumn id="12" xr3:uid="{C014A7B4-1713-4697-8BAB-35224E6DCF5E}" name="AdmissionDate" dataDxfId="2"/>
    <tableColumn id="13" xr3:uid="{E6231B22-3341-4DD9-844A-983D58E74715}" name="Performance" dataDxfId="1">
      <calculatedColumnFormula>IF(H2&gt;400, "Topper", "Acheivers")</calculatedColumnFormula>
    </tableColumn>
    <tableColumn id="14" xr3:uid="{FCBE15C2-C4CD-4BFE-B563-4E7C6FEA02B4}" name="behaviour_Award" dataDxfId="0">
      <calculatedColumnFormula>IF(J2&gt;3, "Well Behaved", "Better Luck Next Time")</calculatedColumnFormula>
    </tableColumn>
    <tableColumn id="15" xr3:uid="{14BD3EA7-E627-44EB-81D3-6A2A4BF2699B}" name="Star_Studnet" dataDxfId="6">
      <calculatedColumnFormula>IF(AND(H2&gt;400, I2&gt;80, J2&gt;3), "Yes", "No")</calculatedColumnFormula>
    </tableColumn>
  </tableColumns>
  <tableStyleInfo name="TableStyleMedium4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287280E6-C4FE-4D49-AF5F-4FA5E3ECC6D9}" name="Table2" displayName="Table2" ref="A1:K61" totalsRowShown="0" headerRowDxfId="11" headerRowBorderDxfId="13" tableBorderDxfId="14">
  <autoFilter ref="A1:K61" xr:uid="{287280E6-C4FE-4D49-AF5F-4FA5E3ECC6D9}"/>
  <tableColumns count="11">
    <tableColumn id="1" xr3:uid="{0896A1F8-2A64-461A-8CBF-00B9B1AB1911}" name="OrderID"/>
    <tableColumn id="2" xr3:uid="{7361981E-DE2E-4B69-A28E-FF5C043B4DEB}" name="StudentID"/>
    <tableColumn id="3" xr3:uid="{E53A78CA-20EA-4C29-853E-FBC78B01D492}" name="Product"/>
    <tableColumn id="4" xr3:uid="{E8E9D494-D0E8-4660-8223-BEBABF9E2021}" name="Quantity"/>
    <tableColumn id="5" xr3:uid="{9EA28CD3-6BD8-449F-A052-9B9D1388A367}" name="UnitPrice"/>
    <tableColumn id="6" xr3:uid="{D279FC40-735C-4882-845A-C00352044DCA}" name="Discount"/>
    <tableColumn id="7" xr3:uid="{4FDFA6CF-D73E-4FE1-ACEE-45BB54E24516}" name="SaleDate" dataDxfId="12"/>
    <tableColumn id="8" xr3:uid="{C2345D9A-92EC-43AD-9F51-AE1FA2CA7FBC}" name="SalesRep"/>
    <tableColumn id="9" xr3:uid="{0541AD0C-327A-4544-843A-31BE3103A1CD}" name="PaymentMode"/>
    <tableColumn id="10" xr3:uid="{3854D2AB-CC9D-423C-8A21-57E37FD42780}" name="City"/>
    <tableColumn id="11" xr3:uid="{77FFC765-D811-4806-B9A7-DF2EC2960B2F}" name="Rating"/>
  </tableColumns>
  <tableStyleInfo name="TableStyleMedium10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291D8146-F479-4E68-99B4-FADDD960EB47}" name="Table3" displayName="Table3" ref="A1:L11" totalsRowShown="0" headerRowDxfId="7" headerRowBorderDxfId="9" tableBorderDxfId="10">
  <autoFilter ref="A1:L11" xr:uid="{291D8146-F479-4E68-99B4-FADDD960EB47}"/>
  <tableColumns count="12">
    <tableColumn id="1" xr3:uid="{69F2F177-5606-4822-8E5A-F2468CBDBEFC}" name="ProductID"/>
    <tableColumn id="2" xr3:uid="{5775AAA9-9A51-412E-B27B-35A49E9CFF6F}" name="ProductName"/>
    <tableColumn id="3" xr3:uid="{3B9205B7-0661-4C78-AB36-A367208C66AC}" name="Category"/>
    <tableColumn id="4" xr3:uid="{527BFDC6-346A-41DC-BA3A-D99365C8F6FE}" name="Brand"/>
    <tableColumn id="5" xr3:uid="{A3AC1BDB-2230-4FFD-91B1-296EADE5AFBB}" name="StockQty"/>
    <tableColumn id="6" xr3:uid="{83FC967D-EC5A-4655-8C82-6F6DC91C894D}" name="UnitPrice"/>
    <tableColumn id="7" xr3:uid="{087D5F4E-1345-4D9F-AFE8-6DB4BECD6ADF}" name="Supplier"/>
    <tableColumn id="8" xr3:uid="{813349E1-132E-47E0-9767-ABDA0BEC0104}" name="IsActive"/>
    <tableColumn id="9" xr3:uid="{72C1C0D6-C29F-46E5-8E01-683C1DDBE110}" name="AddedDate" dataDxfId="8"/>
    <tableColumn id="10" xr3:uid="{6D7DF733-CFCF-4A98-8B11-C716845A0002}" name="GST_Percent"/>
    <tableColumn id="11" xr3:uid="{2B86116D-6E9D-4322-AF66-D3419FAD7356}" name="Weight(gm)"/>
    <tableColumn id="12" xr3:uid="{883AD5C9-8C44-4C0E-907D-09179D07F991}" name="ReorderLevel"/>
  </tableColumns>
  <tableStyleInfo name="TableStyleMedium5" showFirstColumn="0" showLastColumn="0" showRowStripes="1" showColumnStripes="0"/>
</table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43"/>
  <sheetViews>
    <sheetView tabSelected="1" topLeftCell="H2" workbookViewId="0">
      <selection activeCell="S9" sqref="S9"/>
    </sheetView>
  </sheetViews>
  <sheetFormatPr defaultRowHeight="14.5" x14ac:dyDescent="0.35"/>
  <cols>
    <col min="1" max="1" width="11.26953125" customWidth="1"/>
    <col min="5" max="5" width="9" customWidth="1"/>
    <col min="8" max="8" width="12.36328125" customWidth="1"/>
    <col min="9" max="9" width="12.54296875" customWidth="1"/>
    <col min="10" max="10" width="15.81640625" customWidth="1"/>
    <col min="11" max="11" width="9.7265625" customWidth="1"/>
    <col min="12" max="12" width="18" customWidth="1"/>
    <col min="13" max="13" width="16.1796875" bestFit="1" customWidth="1"/>
    <col min="14" max="14" width="20.36328125" bestFit="1" customWidth="1"/>
    <col min="15" max="15" width="16.36328125" bestFit="1" customWidth="1"/>
  </cols>
  <sheetData>
    <row r="1" spans="1:15" x14ac:dyDescent="0.3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221</v>
      </c>
      <c r="N1" s="2" t="s">
        <v>222</v>
      </c>
      <c r="O1" s="2" t="s">
        <v>223</v>
      </c>
    </row>
    <row r="2" spans="1:15" x14ac:dyDescent="0.35">
      <c r="A2" t="s">
        <v>12</v>
      </c>
      <c r="B2" t="s">
        <v>52</v>
      </c>
      <c r="C2" t="s">
        <v>92</v>
      </c>
      <c r="D2">
        <v>16</v>
      </c>
      <c r="E2" t="s">
        <v>220</v>
      </c>
      <c r="F2" t="s">
        <v>98</v>
      </c>
      <c r="G2" t="s">
        <v>102</v>
      </c>
      <c r="H2">
        <v>258</v>
      </c>
      <c r="I2">
        <v>80</v>
      </c>
      <c r="J2">
        <v>3</v>
      </c>
      <c r="K2" t="b">
        <v>1</v>
      </c>
      <c r="L2" s="1">
        <v>44441</v>
      </c>
      <c r="M2" t="str">
        <f>IF(H2&gt;400, "Topper", "Acheivers")</f>
        <v>Acheivers</v>
      </c>
      <c r="N2" t="str">
        <f t="shared" ref="N2:N41" si="0">IF(J2&gt;3, "Well Behaved", "Better Luck Next Time")</f>
        <v>Better Luck Next Time</v>
      </c>
      <c r="O2" t="str">
        <f t="shared" ref="O2:O41" si="1">IF(AND(H2&gt;400, I2&gt;80, J2&gt;3), "Yes", "No")</f>
        <v>No</v>
      </c>
    </row>
    <row r="3" spans="1:15" x14ac:dyDescent="0.35">
      <c r="A3" t="s">
        <v>13</v>
      </c>
      <c r="B3" t="s">
        <v>53</v>
      </c>
      <c r="C3" t="s">
        <v>92</v>
      </c>
      <c r="D3">
        <v>17</v>
      </c>
      <c r="E3" t="s">
        <v>220</v>
      </c>
      <c r="F3" t="s">
        <v>99</v>
      </c>
      <c r="G3" t="s">
        <v>103</v>
      </c>
      <c r="H3">
        <v>369</v>
      </c>
      <c r="I3">
        <v>75</v>
      </c>
      <c r="J3">
        <v>5</v>
      </c>
      <c r="K3" t="b">
        <v>1</v>
      </c>
      <c r="L3" s="1">
        <v>44490</v>
      </c>
      <c r="M3" t="str">
        <f>IF(H3&gt;400, "Topper", "Acheivers")</f>
        <v>Acheivers</v>
      </c>
      <c r="N3" t="str">
        <f>IF(J3&gt;3, "Well Behaved", "Better Luck Next Time")</f>
        <v>Well Behaved</v>
      </c>
      <c r="O3" t="str">
        <f>IF(AND(H3&gt;400, I3&gt;80, J3&gt;3), "Yes", "No")</f>
        <v>No</v>
      </c>
    </row>
    <row r="4" spans="1:15" x14ac:dyDescent="0.35">
      <c r="A4" t="s">
        <v>14</v>
      </c>
      <c r="B4" t="s">
        <v>54</v>
      </c>
      <c r="C4" t="s">
        <v>93</v>
      </c>
      <c r="D4">
        <v>14</v>
      </c>
      <c r="E4" t="s">
        <v>220</v>
      </c>
      <c r="F4" t="s">
        <v>100</v>
      </c>
      <c r="G4" t="s">
        <v>103</v>
      </c>
      <c r="H4">
        <v>387</v>
      </c>
      <c r="I4">
        <v>77</v>
      </c>
      <c r="J4">
        <v>3</v>
      </c>
      <c r="K4" t="b">
        <v>1</v>
      </c>
      <c r="L4" s="1">
        <v>44584</v>
      </c>
      <c r="M4" t="str">
        <f t="shared" ref="M2:M41" si="2">IF(H4&gt;400, "Topper", "Acheivers")</f>
        <v>Acheivers</v>
      </c>
      <c r="N4" t="str">
        <f t="shared" si="0"/>
        <v>Better Luck Next Time</v>
      </c>
      <c r="O4" t="str">
        <f t="shared" si="1"/>
        <v>No</v>
      </c>
    </row>
    <row r="5" spans="1:15" x14ac:dyDescent="0.35">
      <c r="A5" t="s">
        <v>15</v>
      </c>
      <c r="B5" t="s">
        <v>55</v>
      </c>
      <c r="C5" t="s">
        <v>94</v>
      </c>
      <c r="D5">
        <v>16</v>
      </c>
      <c r="E5" t="s">
        <v>97</v>
      </c>
      <c r="F5" t="s">
        <v>98</v>
      </c>
      <c r="G5" t="s">
        <v>102</v>
      </c>
      <c r="H5">
        <v>470</v>
      </c>
      <c r="I5">
        <v>83</v>
      </c>
      <c r="J5">
        <v>1</v>
      </c>
      <c r="K5" t="b">
        <v>1</v>
      </c>
      <c r="L5" s="1">
        <v>44475</v>
      </c>
      <c r="M5" t="str">
        <f t="shared" si="2"/>
        <v>Topper</v>
      </c>
      <c r="N5" t="str">
        <f t="shared" si="0"/>
        <v>Better Luck Next Time</v>
      </c>
      <c r="O5" t="str">
        <f t="shared" si="1"/>
        <v>No</v>
      </c>
    </row>
    <row r="6" spans="1:15" x14ac:dyDescent="0.35">
      <c r="A6" t="s">
        <v>16</v>
      </c>
      <c r="B6" t="s">
        <v>56</v>
      </c>
      <c r="C6" t="s">
        <v>94</v>
      </c>
      <c r="D6">
        <v>16</v>
      </c>
      <c r="E6" t="s">
        <v>97</v>
      </c>
      <c r="F6" t="s">
        <v>100</v>
      </c>
      <c r="G6" t="s">
        <v>103</v>
      </c>
      <c r="H6">
        <v>389</v>
      </c>
      <c r="I6">
        <v>85</v>
      </c>
      <c r="J6">
        <v>5</v>
      </c>
      <c r="K6" t="b">
        <v>1</v>
      </c>
      <c r="L6" s="1">
        <v>44795</v>
      </c>
      <c r="M6" t="str">
        <f t="shared" si="2"/>
        <v>Acheivers</v>
      </c>
      <c r="N6" t="str">
        <f t="shared" si="0"/>
        <v>Well Behaved</v>
      </c>
      <c r="O6" t="str">
        <f t="shared" si="1"/>
        <v>No</v>
      </c>
    </row>
    <row r="7" spans="1:15" x14ac:dyDescent="0.35">
      <c r="A7" t="s">
        <v>17</v>
      </c>
      <c r="B7" t="s">
        <v>57</v>
      </c>
      <c r="C7" t="s">
        <v>94</v>
      </c>
      <c r="D7">
        <v>17</v>
      </c>
      <c r="E7" t="s">
        <v>97</v>
      </c>
      <c r="F7" t="s">
        <v>101</v>
      </c>
      <c r="G7" t="s">
        <v>103</v>
      </c>
      <c r="H7">
        <v>374</v>
      </c>
      <c r="I7">
        <v>84</v>
      </c>
      <c r="J7">
        <v>2</v>
      </c>
      <c r="K7" t="b">
        <v>1</v>
      </c>
      <c r="L7" s="1">
        <v>44820</v>
      </c>
      <c r="M7" t="str">
        <f t="shared" si="2"/>
        <v>Acheivers</v>
      </c>
      <c r="N7" t="str">
        <f t="shared" si="0"/>
        <v>Better Luck Next Time</v>
      </c>
      <c r="O7" t="str">
        <f t="shared" si="1"/>
        <v>No</v>
      </c>
    </row>
    <row r="8" spans="1:15" x14ac:dyDescent="0.35">
      <c r="A8" t="s">
        <v>18</v>
      </c>
      <c r="B8" t="s">
        <v>58</v>
      </c>
      <c r="C8" t="s">
        <v>92</v>
      </c>
      <c r="D8">
        <v>14</v>
      </c>
      <c r="E8" t="s">
        <v>97</v>
      </c>
      <c r="F8" t="s">
        <v>101</v>
      </c>
      <c r="G8" t="s">
        <v>102</v>
      </c>
      <c r="H8">
        <v>250</v>
      </c>
      <c r="I8">
        <v>88</v>
      </c>
      <c r="J8">
        <v>3</v>
      </c>
      <c r="K8" t="b">
        <v>1</v>
      </c>
      <c r="L8" s="1">
        <v>44386</v>
      </c>
      <c r="M8" t="str">
        <f t="shared" si="2"/>
        <v>Acheivers</v>
      </c>
      <c r="N8" t="str">
        <f t="shared" si="0"/>
        <v>Better Luck Next Time</v>
      </c>
      <c r="O8" t="str">
        <f t="shared" si="1"/>
        <v>No</v>
      </c>
    </row>
    <row r="9" spans="1:15" x14ac:dyDescent="0.35">
      <c r="A9" t="s">
        <v>19</v>
      </c>
      <c r="B9" t="s">
        <v>59</v>
      </c>
      <c r="C9" t="s">
        <v>95</v>
      </c>
      <c r="D9">
        <v>14</v>
      </c>
      <c r="E9" t="s">
        <v>220</v>
      </c>
      <c r="F9" t="s">
        <v>101</v>
      </c>
      <c r="G9" t="s">
        <v>103</v>
      </c>
      <c r="H9">
        <v>254</v>
      </c>
      <c r="I9">
        <v>74</v>
      </c>
      <c r="J9">
        <v>1</v>
      </c>
      <c r="K9" t="b">
        <v>1</v>
      </c>
      <c r="L9" s="1">
        <v>44574</v>
      </c>
      <c r="M9" t="str">
        <f t="shared" si="2"/>
        <v>Acheivers</v>
      </c>
      <c r="N9" t="str">
        <f t="shared" si="0"/>
        <v>Better Luck Next Time</v>
      </c>
      <c r="O9" t="str">
        <f t="shared" si="1"/>
        <v>No</v>
      </c>
    </row>
    <row r="10" spans="1:15" x14ac:dyDescent="0.35">
      <c r="A10" t="s">
        <v>20</v>
      </c>
      <c r="B10" t="s">
        <v>60</v>
      </c>
      <c r="C10" t="s">
        <v>92</v>
      </c>
      <c r="D10">
        <v>16</v>
      </c>
      <c r="E10" t="s">
        <v>97</v>
      </c>
      <c r="F10" t="s">
        <v>100</v>
      </c>
      <c r="G10" t="s">
        <v>103</v>
      </c>
      <c r="H10">
        <v>443</v>
      </c>
      <c r="I10">
        <v>60</v>
      </c>
      <c r="J10">
        <v>2</v>
      </c>
      <c r="K10" t="b">
        <v>1</v>
      </c>
      <c r="L10" s="1">
        <v>44761</v>
      </c>
      <c r="M10" t="str">
        <f t="shared" si="2"/>
        <v>Topper</v>
      </c>
      <c r="N10" t="str">
        <f t="shared" si="0"/>
        <v>Better Luck Next Time</v>
      </c>
      <c r="O10" t="str">
        <f t="shared" si="1"/>
        <v>No</v>
      </c>
    </row>
    <row r="11" spans="1:15" x14ac:dyDescent="0.35">
      <c r="A11" t="s">
        <v>21</v>
      </c>
      <c r="B11" t="s">
        <v>61</v>
      </c>
      <c r="C11" t="s">
        <v>95</v>
      </c>
      <c r="D11">
        <v>15</v>
      </c>
      <c r="E11" t="s">
        <v>220</v>
      </c>
      <c r="F11" t="s">
        <v>98</v>
      </c>
      <c r="G11" t="s">
        <v>102</v>
      </c>
      <c r="H11">
        <v>330</v>
      </c>
      <c r="I11">
        <v>84</v>
      </c>
      <c r="J11">
        <v>2</v>
      </c>
      <c r="K11" t="b">
        <v>0</v>
      </c>
      <c r="L11" s="1">
        <v>44789</v>
      </c>
      <c r="M11" t="str">
        <f t="shared" si="2"/>
        <v>Acheivers</v>
      </c>
      <c r="N11" t="str">
        <f t="shared" si="0"/>
        <v>Better Luck Next Time</v>
      </c>
      <c r="O11" t="str">
        <f t="shared" si="1"/>
        <v>No</v>
      </c>
    </row>
    <row r="12" spans="1:15" x14ac:dyDescent="0.35">
      <c r="A12" t="s">
        <v>22</v>
      </c>
      <c r="B12" t="s">
        <v>62</v>
      </c>
      <c r="C12" t="s">
        <v>96</v>
      </c>
      <c r="D12">
        <v>16</v>
      </c>
      <c r="E12" t="s">
        <v>220</v>
      </c>
      <c r="F12" t="s">
        <v>100</v>
      </c>
      <c r="G12" t="s">
        <v>102</v>
      </c>
      <c r="H12">
        <v>334</v>
      </c>
      <c r="I12">
        <v>66</v>
      </c>
      <c r="J12">
        <v>4</v>
      </c>
      <c r="K12" t="b">
        <v>1</v>
      </c>
      <c r="L12" s="1">
        <v>44786</v>
      </c>
      <c r="M12" t="str">
        <f t="shared" si="2"/>
        <v>Acheivers</v>
      </c>
      <c r="N12" t="str">
        <f t="shared" si="0"/>
        <v>Well Behaved</v>
      </c>
      <c r="O12" t="str">
        <f t="shared" si="1"/>
        <v>No</v>
      </c>
    </row>
    <row r="13" spans="1:15" x14ac:dyDescent="0.35">
      <c r="A13" t="s">
        <v>23</v>
      </c>
      <c r="B13" t="s">
        <v>63</v>
      </c>
      <c r="C13" t="s">
        <v>92</v>
      </c>
      <c r="D13">
        <v>16</v>
      </c>
      <c r="E13" t="s">
        <v>97</v>
      </c>
      <c r="F13" t="s">
        <v>100</v>
      </c>
      <c r="G13" t="s">
        <v>103</v>
      </c>
      <c r="H13">
        <v>220</v>
      </c>
      <c r="I13">
        <v>68</v>
      </c>
      <c r="J13">
        <v>5</v>
      </c>
      <c r="K13" t="b">
        <v>1</v>
      </c>
      <c r="L13" s="1">
        <v>44629</v>
      </c>
      <c r="M13" t="str">
        <f t="shared" si="2"/>
        <v>Acheivers</v>
      </c>
      <c r="N13" t="str">
        <f t="shared" si="0"/>
        <v>Well Behaved</v>
      </c>
      <c r="O13" t="str">
        <f t="shared" si="1"/>
        <v>No</v>
      </c>
    </row>
    <row r="14" spans="1:15" x14ac:dyDescent="0.35">
      <c r="A14" t="s">
        <v>24</v>
      </c>
      <c r="B14" t="s">
        <v>64</v>
      </c>
      <c r="C14" t="s">
        <v>92</v>
      </c>
      <c r="D14">
        <v>16</v>
      </c>
      <c r="E14" t="s">
        <v>220</v>
      </c>
      <c r="F14" t="s">
        <v>98</v>
      </c>
      <c r="G14" t="s">
        <v>103</v>
      </c>
      <c r="H14">
        <v>366</v>
      </c>
      <c r="I14">
        <v>83</v>
      </c>
      <c r="J14">
        <v>3</v>
      </c>
      <c r="K14" t="b">
        <v>0</v>
      </c>
      <c r="L14" s="1">
        <v>44398</v>
      </c>
      <c r="M14" t="str">
        <f t="shared" si="2"/>
        <v>Acheivers</v>
      </c>
      <c r="N14" t="str">
        <f t="shared" si="0"/>
        <v>Better Luck Next Time</v>
      </c>
      <c r="O14" t="str">
        <f t="shared" si="1"/>
        <v>No</v>
      </c>
    </row>
    <row r="15" spans="1:15" x14ac:dyDescent="0.35">
      <c r="A15" t="s">
        <v>25</v>
      </c>
      <c r="B15" t="s">
        <v>65</v>
      </c>
      <c r="C15" t="s">
        <v>92</v>
      </c>
      <c r="D15">
        <v>16</v>
      </c>
      <c r="E15" t="s">
        <v>97</v>
      </c>
      <c r="F15" t="s">
        <v>101</v>
      </c>
      <c r="G15" t="s">
        <v>102</v>
      </c>
      <c r="H15">
        <v>473</v>
      </c>
      <c r="I15">
        <v>60</v>
      </c>
      <c r="J15">
        <v>1</v>
      </c>
      <c r="K15" t="b">
        <v>0</v>
      </c>
      <c r="L15" s="1">
        <v>44373</v>
      </c>
      <c r="M15" t="str">
        <f t="shared" si="2"/>
        <v>Topper</v>
      </c>
      <c r="N15" t="str">
        <f t="shared" si="0"/>
        <v>Better Luck Next Time</v>
      </c>
      <c r="O15" t="str">
        <f t="shared" si="1"/>
        <v>No</v>
      </c>
    </row>
    <row r="16" spans="1:15" x14ac:dyDescent="0.35">
      <c r="A16" t="s">
        <v>26</v>
      </c>
      <c r="B16" t="s">
        <v>66</v>
      </c>
      <c r="C16" t="s">
        <v>94</v>
      </c>
      <c r="D16">
        <v>17</v>
      </c>
      <c r="E16" t="s">
        <v>220</v>
      </c>
      <c r="F16" t="s">
        <v>101</v>
      </c>
      <c r="G16" t="s">
        <v>102</v>
      </c>
      <c r="H16">
        <v>288</v>
      </c>
      <c r="I16">
        <v>67</v>
      </c>
      <c r="J16">
        <v>4</v>
      </c>
      <c r="K16" t="b">
        <v>1</v>
      </c>
      <c r="L16" s="1">
        <v>44681</v>
      </c>
      <c r="M16" t="str">
        <f t="shared" si="2"/>
        <v>Acheivers</v>
      </c>
      <c r="N16" t="str">
        <f t="shared" si="0"/>
        <v>Well Behaved</v>
      </c>
      <c r="O16" t="str">
        <f t="shared" si="1"/>
        <v>No</v>
      </c>
    </row>
    <row r="17" spans="1:15" x14ac:dyDescent="0.35">
      <c r="A17" t="s">
        <v>27</v>
      </c>
      <c r="B17" t="s">
        <v>67</v>
      </c>
      <c r="C17" t="s">
        <v>94</v>
      </c>
      <c r="D17">
        <v>14</v>
      </c>
      <c r="E17" t="s">
        <v>97</v>
      </c>
      <c r="F17" t="s">
        <v>98</v>
      </c>
      <c r="G17" t="s">
        <v>103</v>
      </c>
      <c r="H17">
        <v>213</v>
      </c>
      <c r="I17">
        <v>83</v>
      </c>
      <c r="J17">
        <v>5</v>
      </c>
      <c r="K17" t="b">
        <v>1</v>
      </c>
      <c r="L17" s="1">
        <v>44624</v>
      </c>
      <c r="M17" t="str">
        <f t="shared" si="2"/>
        <v>Acheivers</v>
      </c>
      <c r="N17" t="str">
        <f t="shared" si="0"/>
        <v>Well Behaved</v>
      </c>
      <c r="O17" t="str">
        <f t="shared" si="1"/>
        <v>No</v>
      </c>
    </row>
    <row r="18" spans="1:15" x14ac:dyDescent="0.35">
      <c r="A18" t="s">
        <v>28</v>
      </c>
      <c r="B18" t="s">
        <v>68</v>
      </c>
      <c r="C18" t="s">
        <v>95</v>
      </c>
      <c r="D18">
        <v>17</v>
      </c>
      <c r="E18" t="s">
        <v>220</v>
      </c>
      <c r="F18" t="s">
        <v>100</v>
      </c>
      <c r="G18" t="s">
        <v>103</v>
      </c>
      <c r="H18">
        <v>441</v>
      </c>
      <c r="I18">
        <v>70</v>
      </c>
      <c r="J18">
        <v>4</v>
      </c>
      <c r="K18" t="b">
        <v>0</v>
      </c>
      <c r="L18" s="1">
        <v>44776</v>
      </c>
      <c r="M18" t="str">
        <f t="shared" si="2"/>
        <v>Topper</v>
      </c>
      <c r="N18" t="str">
        <f t="shared" si="0"/>
        <v>Well Behaved</v>
      </c>
      <c r="O18" t="str">
        <f t="shared" si="1"/>
        <v>No</v>
      </c>
    </row>
    <row r="19" spans="1:15" x14ac:dyDescent="0.35">
      <c r="A19" t="s">
        <v>29</v>
      </c>
      <c r="B19" t="s">
        <v>69</v>
      </c>
      <c r="C19" t="s">
        <v>95</v>
      </c>
      <c r="D19">
        <v>17</v>
      </c>
      <c r="E19" t="s">
        <v>97</v>
      </c>
      <c r="F19" t="s">
        <v>100</v>
      </c>
      <c r="G19" t="s">
        <v>103</v>
      </c>
      <c r="H19">
        <v>464</v>
      </c>
      <c r="I19">
        <v>76</v>
      </c>
      <c r="J19">
        <v>5</v>
      </c>
      <c r="K19" t="b">
        <v>1</v>
      </c>
      <c r="L19" s="1">
        <v>44355</v>
      </c>
      <c r="M19" t="str">
        <f t="shared" si="2"/>
        <v>Topper</v>
      </c>
      <c r="N19" t="str">
        <f t="shared" si="0"/>
        <v>Well Behaved</v>
      </c>
      <c r="O19" t="str">
        <f t="shared" si="1"/>
        <v>No</v>
      </c>
    </row>
    <row r="20" spans="1:15" x14ac:dyDescent="0.35">
      <c r="A20" t="s">
        <v>30</v>
      </c>
      <c r="B20" t="s">
        <v>70</v>
      </c>
      <c r="C20" t="s">
        <v>92</v>
      </c>
      <c r="D20">
        <v>17</v>
      </c>
      <c r="E20" t="s">
        <v>97</v>
      </c>
      <c r="F20" t="s">
        <v>101</v>
      </c>
      <c r="G20" t="s">
        <v>103</v>
      </c>
      <c r="H20">
        <v>252</v>
      </c>
      <c r="I20">
        <v>67</v>
      </c>
      <c r="J20">
        <v>5</v>
      </c>
      <c r="K20" t="b">
        <v>0</v>
      </c>
      <c r="L20" s="1">
        <v>44844</v>
      </c>
      <c r="M20" t="str">
        <f t="shared" si="2"/>
        <v>Acheivers</v>
      </c>
      <c r="N20" t="str">
        <f t="shared" si="0"/>
        <v>Well Behaved</v>
      </c>
      <c r="O20" t="str">
        <f t="shared" si="1"/>
        <v>No</v>
      </c>
    </row>
    <row r="21" spans="1:15" x14ac:dyDescent="0.35">
      <c r="A21" t="s">
        <v>31</v>
      </c>
      <c r="B21" t="s">
        <v>71</v>
      </c>
      <c r="C21" t="s">
        <v>95</v>
      </c>
      <c r="D21">
        <v>16</v>
      </c>
      <c r="E21" t="s">
        <v>220</v>
      </c>
      <c r="F21" t="s">
        <v>99</v>
      </c>
      <c r="G21" t="s">
        <v>103</v>
      </c>
      <c r="H21">
        <v>291</v>
      </c>
      <c r="I21">
        <v>94</v>
      </c>
      <c r="J21">
        <v>3</v>
      </c>
      <c r="K21" t="b">
        <v>0</v>
      </c>
      <c r="L21" s="1">
        <v>44395</v>
      </c>
      <c r="M21" t="str">
        <f t="shared" si="2"/>
        <v>Acheivers</v>
      </c>
      <c r="N21" t="str">
        <f t="shared" si="0"/>
        <v>Better Luck Next Time</v>
      </c>
      <c r="O21" t="str">
        <f t="shared" si="1"/>
        <v>No</v>
      </c>
    </row>
    <row r="22" spans="1:15" x14ac:dyDescent="0.35">
      <c r="A22" t="s">
        <v>32</v>
      </c>
      <c r="B22" t="s">
        <v>72</v>
      </c>
      <c r="C22" t="s">
        <v>94</v>
      </c>
      <c r="D22">
        <v>15</v>
      </c>
      <c r="E22" t="s">
        <v>220</v>
      </c>
      <c r="F22" t="s">
        <v>99</v>
      </c>
      <c r="G22" t="s">
        <v>102</v>
      </c>
      <c r="H22">
        <v>463</v>
      </c>
      <c r="I22">
        <v>94</v>
      </c>
      <c r="J22">
        <v>5</v>
      </c>
      <c r="K22" t="b">
        <v>1</v>
      </c>
      <c r="L22" s="1">
        <v>44822</v>
      </c>
      <c r="M22" t="str">
        <f t="shared" si="2"/>
        <v>Topper</v>
      </c>
      <c r="N22" t="str">
        <f t="shared" si="0"/>
        <v>Well Behaved</v>
      </c>
      <c r="O22" t="str">
        <f t="shared" si="1"/>
        <v>Yes</v>
      </c>
    </row>
    <row r="23" spans="1:15" x14ac:dyDescent="0.35">
      <c r="A23" t="s">
        <v>33</v>
      </c>
      <c r="B23" t="s">
        <v>73</v>
      </c>
      <c r="C23" t="s">
        <v>95</v>
      </c>
      <c r="D23">
        <v>14</v>
      </c>
      <c r="E23" t="s">
        <v>220</v>
      </c>
      <c r="F23" t="s">
        <v>99</v>
      </c>
      <c r="G23" t="s">
        <v>103</v>
      </c>
      <c r="H23">
        <v>234</v>
      </c>
      <c r="I23">
        <v>92</v>
      </c>
      <c r="J23">
        <v>4</v>
      </c>
      <c r="K23" t="b">
        <v>1</v>
      </c>
      <c r="L23" s="1">
        <v>44733</v>
      </c>
      <c r="M23" t="str">
        <f t="shared" si="2"/>
        <v>Acheivers</v>
      </c>
      <c r="N23" t="str">
        <f t="shared" si="0"/>
        <v>Well Behaved</v>
      </c>
      <c r="O23" t="str">
        <f t="shared" si="1"/>
        <v>No</v>
      </c>
    </row>
    <row r="24" spans="1:15" x14ac:dyDescent="0.35">
      <c r="A24" t="s">
        <v>34</v>
      </c>
      <c r="B24" t="s">
        <v>74</v>
      </c>
      <c r="C24" t="s">
        <v>96</v>
      </c>
      <c r="D24">
        <v>15</v>
      </c>
      <c r="E24" t="s">
        <v>220</v>
      </c>
      <c r="F24" t="s">
        <v>100</v>
      </c>
      <c r="G24" t="s">
        <v>103</v>
      </c>
      <c r="H24">
        <v>405</v>
      </c>
      <c r="I24">
        <v>64</v>
      </c>
      <c r="J24">
        <v>5</v>
      </c>
      <c r="K24" t="b">
        <v>1</v>
      </c>
      <c r="L24" s="1">
        <v>44782</v>
      </c>
      <c r="M24" t="str">
        <f t="shared" si="2"/>
        <v>Topper</v>
      </c>
      <c r="N24" t="str">
        <f t="shared" si="0"/>
        <v>Well Behaved</v>
      </c>
      <c r="O24" t="str">
        <f t="shared" si="1"/>
        <v>No</v>
      </c>
    </row>
    <row r="25" spans="1:15" x14ac:dyDescent="0.35">
      <c r="A25" t="s">
        <v>35</v>
      </c>
      <c r="B25" t="s">
        <v>75</v>
      </c>
      <c r="C25" t="s">
        <v>94</v>
      </c>
      <c r="D25">
        <v>17</v>
      </c>
      <c r="E25" t="s">
        <v>97</v>
      </c>
      <c r="F25" t="s">
        <v>100</v>
      </c>
      <c r="G25" t="s">
        <v>103</v>
      </c>
      <c r="H25">
        <v>280</v>
      </c>
      <c r="I25">
        <v>98</v>
      </c>
      <c r="J25">
        <v>3</v>
      </c>
      <c r="K25" t="b">
        <v>0</v>
      </c>
      <c r="L25" s="1">
        <v>44469</v>
      </c>
      <c r="M25" t="str">
        <f t="shared" si="2"/>
        <v>Acheivers</v>
      </c>
      <c r="N25" t="str">
        <f t="shared" si="0"/>
        <v>Better Luck Next Time</v>
      </c>
      <c r="O25" t="str">
        <f t="shared" si="1"/>
        <v>No</v>
      </c>
    </row>
    <row r="26" spans="1:15" x14ac:dyDescent="0.35">
      <c r="A26" t="s">
        <v>36</v>
      </c>
      <c r="B26" t="s">
        <v>76</v>
      </c>
      <c r="C26" t="s">
        <v>96</v>
      </c>
      <c r="D26">
        <v>17</v>
      </c>
      <c r="E26" t="s">
        <v>97</v>
      </c>
      <c r="F26" t="s">
        <v>101</v>
      </c>
      <c r="G26" t="s">
        <v>102</v>
      </c>
      <c r="H26">
        <v>249</v>
      </c>
      <c r="I26">
        <v>87</v>
      </c>
      <c r="J26">
        <v>3</v>
      </c>
      <c r="K26" t="b">
        <v>0</v>
      </c>
      <c r="L26" s="1">
        <v>44433</v>
      </c>
      <c r="M26" t="str">
        <f t="shared" si="2"/>
        <v>Acheivers</v>
      </c>
      <c r="N26" t="str">
        <f t="shared" si="0"/>
        <v>Better Luck Next Time</v>
      </c>
      <c r="O26" t="str">
        <f t="shared" si="1"/>
        <v>No</v>
      </c>
    </row>
    <row r="27" spans="1:15" x14ac:dyDescent="0.35">
      <c r="A27" t="s">
        <v>37</v>
      </c>
      <c r="B27" t="s">
        <v>77</v>
      </c>
      <c r="C27" t="s">
        <v>95</v>
      </c>
      <c r="D27">
        <v>15</v>
      </c>
      <c r="E27" t="s">
        <v>220</v>
      </c>
      <c r="F27" t="s">
        <v>99</v>
      </c>
      <c r="G27" t="s">
        <v>103</v>
      </c>
      <c r="H27">
        <v>201</v>
      </c>
      <c r="I27">
        <v>66</v>
      </c>
      <c r="J27">
        <v>4</v>
      </c>
      <c r="K27" t="b">
        <v>0</v>
      </c>
      <c r="L27" s="1">
        <v>44556</v>
      </c>
      <c r="M27" t="str">
        <f t="shared" si="2"/>
        <v>Acheivers</v>
      </c>
      <c r="N27" t="str">
        <f t="shared" si="0"/>
        <v>Well Behaved</v>
      </c>
      <c r="O27" t="str">
        <f t="shared" si="1"/>
        <v>No</v>
      </c>
    </row>
    <row r="28" spans="1:15" x14ac:dyDescent="0.35">
      <c r="A28" t="s">
        <v>38</v>
      </c>
      <c r="B28" t="s">
        <v>78</v>
      </c>
      <c r="C28" t="s">
        <v>93</v>
      </c>
      <c r="D28">
        <v>15</v>
      </c>
      <c r="E28" t="s">
        <v>97</v>
      </c>
      <c r="F28" t="s">
        <v>101</v>
      </c>
      <c r="G28" t="s">
        <v>102</v>
      </c>
      <c r="H28">
        <v>253</v>
      </c>
      <c r="I28">
        <v>68</v>
      </c>
      <c r="J28">
        <v>2</v>
      </c>
      <c r="K28" t="b">
        <v>0</v>
      </c>
      <c r="L28" s="1">
        <v>44596</v>
      </c>
      <c r="M28" t="str">
        <f t="shared" si="2"/>
        <v>Acheivers</v>
      </c>
      <c r="N28" t="str">
        <f t="shared" si="0"/>
        <v>Better Luck Next Time</v>
      </c>
      <c r="O28" t="str">
        <f t="shared" si="1"/>
        <v>No</v>
      </c>
    </row>
    <row r="29" spans="1:15" x14ac:dyDescent="0.35">
      <c r="A29" t="s">
        <v>39</v>
      </c>
      <c r="B29" t="s">
        <v>79</v>
      </c>
      <c r="C29" t="s">
        <v>92</v>
      </c>
      <c r="D29">
        <v>15</v>
      </c>
      <c r="E29" t="s">
        <v>97</v>
      </c>
      <c r="F29" t="s">
        <v>101</v>
      </c>
      <c r="G29" t="s">
        <v>102</v>
      </c>
      <c r="H29">
        <v>305</v>
      </c>
      <c r="I29">
        <v>67</v>
      </c>
      <c r="J29">
        <v>2</v>
      </c>
      <c r="K29" t="b">
        <v>0</v>
      </c>
      <c r="L29" s="1">
        <v>44594</v>
      </c>
      <c r="M29" t="str">
        <f t="shared" si="2"/>
        <v>Acheivers</v>
      </c>
      <c r="N29" t="str">
        <f t="shared" si="0"/>
        <v>Better Luck Next Time</v>
      </c>
      <c r="O29" t="str">
        <f t="shared" si="1"/>
        <v>No</v>
      </c>
    </row>
    <row r="30" spans="1:15" x14ac:dyDescent="0.35">
      <c r="A30" t="s">
        <v>40</v>
      </c>
      <c r="B30" t="s">
        <v>80</v>
      </c>
      <c r="C30" t="s">
        <v>94</v>
      </c>
      <c r="D30">
        <v>17</v>
      </c>
      <c r="E30" t="s">
        <v>220</v>
      </c>
      <c r="F30" t="s">
        <v>101</v>
      </c>
      <c r="G30" t="s">
        <v>103</v>
      </c>
      <c r="H30">
        <v>459</v>
      </c>
      <c r="I30">
        <v>71</v>
      </c>
      <c r="J30">
        <v>5</v>
      </c>
      <c r="K30" t="b">
        <v>1</v>
      </c>
      <c r="L30" s="1">
        <v>44457</v>
      </c>
      <c r="M30" t="str">
        <f t="shared" si="2"/>
        <v>Topper</v>
      </c>
      <c r="N30" t="str">
        <f t="shared" si="0"/>
        <v>Well Behaved</v>
      </c>
      <c r="O30" t="str">
        <f t="shared" si="1"/>
        <v>No</v>
      </c>
    </row>
    <row r="31" spans="1:15" x14ac:dyDescent="0.35">
      <c r="A31" t="s">
        <v>41</v>
      </c>
      <c r="B31" t="s">
        <v>81</v>
      </c>
      <c r="C31" t="s">
        <v>96</v>
      </c>
      <c r="D31">
        <v>17</v>
      </c>
      <c r="E31" t="s">
        <v>97</v>
      </c>
      <c r="F31" t="s">
        <v>98</v>
      </c>
      <c r="G31" t="s">
        <v>103</v>
      </c>
      <c r="H31">
        <v>390</v>
      </c>
      <c r="I31">
        <v>93</v>
      </c>
      <c r="J31">
        <v>1</v>
      </c>
      <c r="K31" t="b">
        <v>1</v>
      </c>
      <c r="L31" s="1">
        <v>44790</v>
      </c>
      <c r="M31" t="str">
        <f t="shared" si="2"/>
        <v>Acheivers</v>
      </c>
      <c r="N31" t="str">
        <f t="shared" si="0"/>
        <v>Better Luck Next Time</v>
      </c>
      <c r="O31" t="str">
        <f t="shared" si="1"/>
        <v>No</v>
      </c>
    </row>
    <row r="32" spans="1:15" x14ac:dyDescent="0.35">
      <c r="A32" t="s">
        <v>42</v>
      </c>
      <c r="B32" t="s">
        <v>82</v>
      </c>
      <c r="C32" t="s">
        <v>93</v>
      </c>
      <c r="D32">
        <v>14</v>
      </c>
      <c r="E32" t="s">
        <v>220</v>
      </c>
      <c r="F32" t="s">
        <v>99</v>
      </c>
      <c r="G32" t="s">
        <v>102</v>
      </c>
      <c r="H32">
        <v>417</v>
      </c>
      <c r="I32">
        <v>92</v>
      </c>
      <c r="J32">
        <v>5</v>
      </c>
      <c r="K32" t="b">
        <v>1</v>
      </c>
      <c r="L32" s="1">
        <v>44553</v>
      </c>
      <c r="M32" t="str">
        <f t="shared" si="2"/>
        <v>Topper</v>
      </c>
      <c r="N32" t="str">
        <f t="shared" si="0"/>
        <v>Well Behaved</v>
      </c>
      <c r="O32" t="str">
        <f t="shared" si="1"/>
        <v>Yes</v>
      </c>
    </row>
    <row r="33" spans="1:15" x14ac:dyDescent="0.35">
      <c r="A33" t="s">
        <v>43</v>
      </c>
      <c r="B33" t="s">
        <v>83</v>
      </c>
      <c r="C33" t="s">
        <v>93</v>
      </c>
      <c r="D33">
        <v>14</v>
      </c>
      <c r="E33" t="s">
        <v>97</v>
      </c>
      <c r="F33" t="s">
        <v>99</v>
      </c>
      <c r="G33" t="s">
        <v>102</v>
      </c>
      <c r="H33">
        <v>243</v>
      </c>
      <c r="I33">
        <v>82</v>
      </c>
      <c r="J33">
        <v>4</v>
      </c>
      <c r="K33" t="b">
        <v>0</v>
      </c>
      <c r="L33" s="1">
        <v>44810</v>
      </c>
      <c r="M33" t="str">
        <f t="shared" si="2"/>
        <v>Acheivers</v>
      </c>
      <c r="N33" t="str">
        <f t="shared" si="0"/>
        <v>Well Behaved</v>
      </c>
      <c r="O33" t="str">
        <f t="shared" si="1"/>
        <v>No</v>
      </c>
    </row>
    <row r="34" spans="1:15" x14ac:dyDescent="0.35">
      <c r="A34" t="s">
        <v>44</v>
      </c>
      <c r="B34" t="s">
        <v>84</v>
      </c>
      <c r="C34" t="s">
        <v>94</v>
      </c>
      <c r="D34">
        <v>17</v>
      </c>
      <c r="E34" t="s">
        <v>220</v>
      </c>
      <c r="F34" t="s">
        <v>98</v>
      </c>
      <c r="G34" t="s">
        <v>102</v>
      </c>
      <c r="H34">
        <v>361</v>
      </c>
      <c r="I34">
        <v>83</v>
      </c>
      <c r="J34">
        <v>4</v>
      </c>
      <c r="K34" t="b">
        <v>0</v>
      </c>
      <c r="L34" s="1">
        <v>44378</v>
      </c>
      <c r="M34" t="str">
        <f t="shared" si="2"/>
        <v>Acheivers</v>
      </c>
      <c r="N34" t="str">
        <f t="shared" si="0"/>
        <v>Well Behaved</v>
      </c>
      <c r="O34" t="str">
        <f t="shared" si="1"/>
        <v>No</v>
      </c>
    </row>
    <row r="35" spans="1:15" x14ac:dyDescent="0.35">
      <c r="A35" t="s">
        <v>45</v>
      </c>
      <c r="B35" t="s">
        <v>85</v>
      </c>
      <c r="C35" t="s">
        <v>94</v>
      </c>
      <c r="D35">
        <v>15</v>
      </c>
      <c r="E35" t="s">
        <v>220</v>
      </c>
      <c r="F35" t="s">
        <v>98</v>
      </c>
      <c r="G35" t="s">
        <v>102</v>
      </c>
      <c r="H35">
        <v>401</v>
      </c>
      <c r="I35">
        <v>96</v>
      </c>
      <c r="J35">
        <v>4</v>
      </c>
      <c r="K35" t="b">
        <v>1</v>
      </c>
      <c r="L35" s="1">
        <v>44432</v>
      </c>
      <c r="M35" t="str">
        <f t="shared" si="2"/>
        <v>Topper</v>
      </c>
      <c r="N35" t="str">
        <f t="shared" si="0"/>
        <v>Well Behaved</v>
      </c>
      <c r="O35" t="str">
        <f t="shared" si="1"/>
        <v>Yes</v>
      </c>
    </row>
    <row r="36" spans="1:15" x14ac:dyDescent="0.35">
      <c r="A36" t="s">
        <v>46</v>
      </c>
      <c r="B36" t="s">
        <v>86</v>
      </c>
      <c r="C36" t="s">
        <v>93</v>
      </c>
      <c r="D36">
        <v>15</v>
      </c>
      <c r="E36" t="s">
        <v>97</v>
      </c>
      <c r="F36" t="s">
        <v>99</v>
      </c>
      <c r="G36" t="s">
        <v>102</v>
      </c>
      <c r="H36">
        <v>469</v>
      </c>
      <c r="I36">
        <v>94</v>
      </c>
      <c r="J36">
        <v>4</v>
      </c>
      <c r="K36" t="b">
        <v>1</v>
      </c>
      <c r="L36" s="1">
        <v>44542</v>
      </c>
      <c r="M36" t="str">
        <f t="shared" si="2"/>
        <v>Topper</v>
      </c>
      <c r="N36" t="str">
        <f t="shared" si="0"/>
        <v>Well Behaved</v>
      </c>
      <c r="O36" t="str">
        <f t="shared" si="1"/>
        <v>Yes</v>
      </c>
    </row>
    <row r="37" spans="1:15" x14ac:dyDescent="0.35">
      <c r="A37" t="s">
        <v>47</v>
      </c>
      <c r="B37" t="s">
        <v>87</v>
      </c>
      <c r="C37" t="s">
        <v>92</v>
      </c>
      <c r="D37">
        <v>14</v>
      </c>
      <c r="E37" t="s">
        <v>97</v>
      </c>
      <c r="F37" t="s">
        <v>98</v>
      </c>
      <c r="G37" t="s">
        <v>103</v>
      </c>
      <c r="H37">
        <v>470</v>
      </c>
      <c r="I37">
        <v>99</v>
      </c>
      <c r="J37">
        <v>4</v>
      </c>
      <c r="K37" t="b">
        <v>1</v>
      </c>
      <c r="L37" s="1">
        <v>44349</v>
      </c>
      <c r="M37" t="str">
        <f t="shared" si="2"/>
        <v>Topper</v>
      </c>
      <c r="N37" t="str">
        <f t="shared" si="0"/>
        <v>Well Behaved</v>
      </c>
      <c r="O37" t="str">
        <f t="shared" si="1"/>
        <v>Yes</v>
      </c>
    </row>
    <row r="38" spans="1:15" x14ac:dyDescent="0.35">
      <c r="A38" t="s">
        <v>48</v>
      </c>
      <c r="B38" t="s">
        <v>88</v>
      </c>
      <c r="C38" t="s">
        <v>92</v>
      </c>
      <c r="D38">
        <v>17</v>
      </c>
      <c r="E38" t="s">
        <v>220</v>
      </c>
      <c r="F38" t="s">
        <v>101</v>
      </c>
      <c r="G38" t="s">
        <v>103</v>
      </c>
      <c r="H38">
        <v>414</v>
      </c>
      <c r="I38">
        <v>81</v>
      </c>
      <c r="J38">
        <v>3</v>
      </c>
      <c r="K38" t="b">
        <v>1</v>
      </c>
      <c r="L38" s="1">
        <v>44547</v>
      </c>
      <c r="M38" t="str">
        <f t="shared" si="2"/>
        <v>Topper</v>
      </c>
      <c r="N38" t="str">
        <f t="shared" si="0"/>
        <v>Better Luck Next Time</v>
      </c>
      <c r="O38" t="str">
        <f t="shared" si="1"/>
        <v>No</v>
      </c>
    </row>
    <row r="39" spans="1:15" x14ac:dyDescent="0.35">
      <c r="A39" t="s">
        <v>49</v>
      </c>
      <c r="B39" t="s">
        <v>89</v>
      </c>
      <c r="C39" t="s">
        <v>96</v>
      </c>
      <c r="D39">
        <v>14</v>
      </c>
      <c r="E39" t="s">
        <v>97</v>
      </c>
      <c r="F39" t="s">
        <v>100</v>
      </c>
      <c r="G39" t="s">
        <v>103</v>
      </c>
      <c r="H39">
        <v>451</v>
      </c>
      <c r="I39">
        <v>86</v>
      </c>
      <c r="J39">
        <v>2</v>
      </c>
      <c r="K39" t="b">
        <v>0</v>
      </c>
      <c r="L39" s="1">
        <v>44483</v>
      </c>
      <c r="M39" t="str">
        <f t="shared" si="2"/>
        <v>Topper</v>
      </c>
      <c r="N39" t="str">
        <f t="shared" si="0"/>
        <v>Better Luck Next Time</v>
      </c>
      <c r="O39" t="str">
        <f t="shared" si="1"/>
        <v>No</v>
      </c>
    </row>
    <row r="40" spans="1:15" x14ac:dyDescent="0.35">
      <c r="A40" t="s">
        <v>50</v>
      </c>
      <c r="B40" t="s">
        <v>90</v>
      </c>
      <c r="C40" t="s">
        <v>92</v>
      </c>
      <c r="D40">
        <v>14</v>
      </c>
      <c r="E40" t="s">
        <v>220</v>
      </c>
      <c r="F40" t="s">
        <v>101</v>
      </c>
      <c r="G40" t="s">
        <v>103</v>
      </c>
      <c r="H40">
        <v>55</v>
      </c>
      <c r="I40">
        <v>94</v>
      </c>
      <c r="J40">
        <v>4</v>
      </c>
      <c r="K40" t="b">
        <v>1</v>
      </c>
      <c r="L40" s="1">
        <v>44822</v>
      </c>
      <c r="M40" t="str">
        <f t="shared" si="2"/>
        <v>Acheivers</v>
      </c>
      <c r="N40" t="str">
        <f t="shared" si="0"/>
        <v>Well Behaved</v>
      </c>
      <c r="O40" t="str">
        <f t="shared" si="1"/>
        <v>No</v>
      </c>
    </row>
    <row r="41" spans="1:15" x14ac:dyDescent="0.35">
      <c r="A41" t="s">
        <v>51</v>
      </c>
      <c r="B41" t="s">
        <v>91</v>
      </c>
      <c r="C41" t="s">
        <v>93</v>
      </c>
      <c r="D41">
        <v>16</v>
      </c>
      <c r="E41" t="s">
        <v>97</v>
      </c>
      <c r="F41" t="s">
        <v>99</v>
      </c>
      <c r="G41" t="s">
        <v>102</v>
      </c>
      <c r="H41">
        <v>498</v>
      </c>
      <c r="I41">
        <v>60</v>
      </c>
      <c r="J41">
        <v>1</v>
      </c>
      <c r="K41" t="b">
        <v>0</v>
      </c>
      <c r="L41" s="1">
        <v>44749</v>
      </c>
      <c r="M41" t="str">
        <f t="shared" si="2"/>
        <v>Topper</v>
      </c>
      <c r="N41" t="str">
        <f t="shared" si="0"/>
        <v>Better Luck Next Time</v>
      </c>
      <c r="O41" t="str">
        <f t="shared" si="1"/>
        <v>No</v>
      </c>
    </row>
    <row r="43" spans="1:15" x14ac:dyDescent="0.35">
      <c r="H43" s="3"/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K63"/>
  <sheetViews>
    <sheetView topLeftCell="A56" zoomScale="115" zoomScaleNormal="115" workbookViewId="0">
      <selection activeCell="D63" sqref="D63"/>
    </sheetView>
  </sheetViews>
  <sheetFormatPr defaultRowHeight="14.5" x14ac:dyDescent="0.35"/>
  <cols>
    <col min="1" max="1" width="9.08984375" customWidth="1"/>
    <col min="2" max="2" width="10.7265625" customWidth="1"/>
    <col min="3" max="3" width="8.81640625" customWidth="1"/>
    <col min="4" max="4" width="9.6328125" customWidth="1"/>
    <col min="5" max="5" width="10" customWidth="1"/>
    <col min="6" max="6" width="9.54296875" customWidth="1"/>
    <col min="7" max="7" width="19.08984375" customWidth="1"/>
    <col min="8" max="8" width="9.81640625" customWidth="1"/>
    <col min="9" max="9" width="14.54296875" customWidth="1"/>
  </cols>
  <sheetData>
    <row r="1" spans="1:11" x14ac:dyDescent="0.35">
      <c r="A1" s="2" t="s">
        <v>104</v>
      </c>
      <c r="B1" s="2" t="s">
        <v>0</v>
      </c>
      <c r="C1" s="2" t="s">
        <v>105</v>
      </c>
      <c r="D1" s="2" t="s">
        <v>106</v>
      </c>
      <c r="E1" s="2" t="s">
        <v>107</v>
      </c>
      <c r="F1" s="2" t="s">
        <v>108</v>
      </c>
      <c r="G1" s="2" t="s">
        <v>109</v>
      </c>
      <c r="H1" s="2" t="s">
        <v>110</v>
      </c>
      <c r="I1" s="2" t="s">
        <v>111</v>
      </c>
      <c r="J1" s="2" t="s">
        <v>2</v>
      </c>
      <c r="K1" s="2" t="s">
        <v>112</v>
      </c>
    </row>
    <row r="2" spans="1:11" x14ac:dyDescent="0.35">
      <c r="A2" t="s">
        <v>113</v>
      </c>
      <c r="B2" t="s">
        <v>41</v>
      </c>
      <c r="C2" t="s">
        <v>173</v>
      </c>
      <c r="D2">
        <v>9</v>
      </c>
      <c r="E2">
        <v>5</v>
      </c>
      <c r="F2">
        <v>10</v>
      </c>
      <c r="G2" s="1">
        <v>45060</v>
      </c>
      <c r="H2" t="s">
        <v>183</v>
      </c>
      <c r="I2" t="s">
        <v>187</v>
      </c>
      <c r="J2" t="s">
        <v>96</v>
      </c>
      <c r="K2">
        <v>4</v>
      </c>
    </row>
    <row r="3" spans="1:11" x14ac:dyDescent="0.35">
      <c r="A3" t="s">
        <v>114</v>
      </c>
      <c r="B3" t="s">
        <v>25</v>
      </c>
      <c r="C3" t="s">
        <v>174</v>
      </c>
      <c r="D3">
        <v>9</v>
      </c>
      <c r="E3">
        <v>10</v>
      </c>
      <c r="F3">
        <v>0</v>
      </c>
      <c r="G3" s="1">
        <v>44883</v>
      </c>
      <c r="H3" t="s">
        <v>68</v>
      </c>
      <c r="I3" t="s">
        <v>188</v>
      </c>
      <c r="J3" t="s">
        <v>92</v>
      </c>
      <c r="K3">
        <v>5</v>
      </c>
    </row>
    <row r="4" spans="1:11" x14ac:dyDescent="0.35">
      <c r="A4" t="s">
        <v>115</v>
      </c>
      <c r="B4" t="s">
        <v>42</v>
      </c>
      <c r="C4" t="s">
        <v>175</v>
      </c>
      <c r="D4">
        <v>3</v>
      </c>
      <c r="E4">
        <v>15</v>
      </c>
      <c r="F4">
        <v>0</v>
      </c>
      <c r="G4" s="1">
        <v>45082</v>
      </c>
      <c r="H4" t="s">
        <v>68</v>
      </c>
      <c r="I4" t="s">
        <v>187</v>
      </c>
      <c r="J4" t="s">
        <v>93</v>
      </c>
      <c r="K4">
        <v>3</v>
      </c>
    </row>
    <row r="5" spans="1:11" x14ac:dyDescent="0.35">
      <c r="A5" t="s">
        <v>116</v>
      </c>
      <c r="B5" t="s">
        <v>50</v>
      </c>
      <c r="C5" t="s">
        <v>176</v>
      </c>
      <c r="D5">
        <v>7</v>
      </c>
      <c r="E5">
        <v>5</v>
      </c>
      <c r="F5">
        <v>0</v>
      </c>
      <c r="G5" s="1">
        <v>45145</v>
      </c>
      <c r="H5" t="s">
        <v>183</v>
      </c>
      <c r="I5" t="s">
        <v>188</v>
      </c>
      <c r="J5" t="s">
        <v>92</v>
      </c>
      <c r="K5">
        <v>5</v>
      </c>
    </row>
    <row r="6" spans="1:11" x14ac:dyDescent="0.35">
      <c r="A6" t="s">
        <v>117</v>
      </c>
      <c r="B6" t="s">
        <v>17</v>
      </c>
      <c r="C6" t="s">
        <v>177</v>
      </c>
      <c r="D6">
        <v>10</v>
      </c>
      <c r="E6">
        <v>20</v>
      </c>
      <c r="F6">
        <v>10</v>
      </c>
      <c r="G6" s="1">
        <v>44885</v>
      </c>
      <c r="H6" t="s">
        <v>184</v>
      </c>
      <c r="I6" t="s">
        <v>187</v>
      </c>
      <c r="J6" t="s">
        <v>94</v>
      </c>
      <c r="K6">
        <v>5</v>
      </c>
    </row>
    <row r="7" spans="1:11" x14ac:dyDescent="0.35">
      <c r="A7" t="s">
        <v>118</v>
      </c>
      <c r="B7" t="s">
        <v>32</v>
      </c>
      <c r="C7" t="s">
        <v>178</v>
      </c>
      <c r="D7">
        <v>7</v>
      </c>
      <c r="E7">
        <v>5</v>
      </c>
      <c r="F7">
        <v>0</v>
      </c>
      <c r="G7" s="1">
        <v>45249</v>
      </c>
      <c r="H7" t="s">
        <v>184</v>
      </c>
      <c r="I7" t="s">
        <v>189</v>
      </c>
      <c r="J7" t="s">
        <v>94</v>
      </c>
      <c r="K7">
        <v>4</v>
      </c>
    </row>
    <row r="8" spans="1:11" x14ac:dyDescent="0.35">
      <c r="A8" t="s">
        <v>119</v>
      </c>
      <c r="B8" t="s">
        <v>16</v>
      </c>
      <c r="C8" t="s">
        <v>174</v>
      </c>
      <c r="D8">
        <v>10</v>
      </c>
      <c r="E8">
        <v>10</v>
      </c>
      <c r="F8">
        <v>10</v>
      </c>
      <c r="G8" s="1">
        <v>44664</v>
      </c>
      <c r="H8" t="s">
        <v>68</v>
      </c>
      <c r="I8" t="s">
        <v>187</v>
      </c>
      <c r="J8" t="s">
        <v>94</v>
      </c>
      <c r="K8">
        <v>5</v>
      </c>
    </row>
    <row r="9" spans="1:11" x14ac:dyDescent="0.35">
      <c r="A9" t="s">
        <v>120</v>
      </c>
      <c r="B9" t="s">
        <v>28</v>
      </c>
      <c r="C9" t="s">
        <v>179</v>
      </c>
      <c r="D9">
        <v>2</v>
      </c>
      <c r="E9">
        <v>30</v>
      </c>
      <c r="F9">
        <v>0</v>
      </c>
      <c r="G9" s="1">
        <v>44940</v>
      </c>
      <c r="H9" t="s">
        <v>184</v>
      </c>
      <c r="I9" t="s">
        <v>187</v>
      </c>
      <c r="J9" t="s">
        <v>95</v>
      </c>
      <c r="K9">
        <v>4</v>
      </c>
    </row>
    <row r="10" spans="1:11" x14ac:dyDescent="0.35">
      <c r="A10" t="s">
        <v>121</v>
      </c>
      <c r="B10" t="s">
        <v>46</v>
      </c>
      <c r="C10" t="s">
        <v>173</v>
      </c>
      <c r="D10">
        <v>9</v>
      </c>
      <c r="E10">
        <v>5</v>
      </c>
      <c r="F10">
        <v>0</v>
      </c>
      <c r="G10" s="1">
        <v>45245</v>
      </c>
      <c r="H10" t="s">
        <v>185</v>
      </c>
      <c r="I10" t="s">
        <v>190</v>
      </c>
      <c r="J10" t="s">
        <v>93</v>
      </c>
      <c r="K10">
        <v>5</v>
      </c>
    </row>
    <row r="11" spans="1:11" x14ac:dyDescent="0.35">
      <c r="A11" t="s">
        <v>122</v>
      </c>
      <c r="B11" t="s">
        <v>18</v>
      </c>
      <c r="C11" t="s">
        <v>179</v>
      </c>
      <c r="D11">
        <v>2</v>
      </c>
      <c r="E11">
        <v>30</v>
      </c>
      <c r="F11">
        <v>0</v>
      </c>
      <c r="G11" s="1">
        <v>45128</v>
      </c>
      <c r="H11" t="s">
        <v>183</v>
      </c>
      <c r="I11" t="s">
        <v>190</v>
      </c>
      <c r="J11" t="s">
        <v>92</v>
      </c>
      <c r="K11">
        <v>4</v>
      </c>
    </row>
    <row r="12" spans="1:11" x14ac:dyDescent="0.35">
      <c r="A12" t="s">
        <v>123</v>
      </c>
      <c r="B12" t="s">
        <v>50</v>
      </c>
      <c r="C12" t="s">
        <v>178</v>
      </c>
      <c r="D12">
        <v>4</v>
      </c>
      <c r="E12">
        <v>5</v>
      </c>
      <c r="F12">
        <v>10</v>
      </c>
      <c r="G12" s="1">
        <v>45211</v>
      </c>
      <c r="H12" t="s">
        <v>184</v>
      </c>
      <c r="I12" t="s">
        <v>189</v>
      </c>
      <c r="J12" t="s">
        <v>92</v>
      </c>
      <c r="K12">
        <v>4</v>
      </c>
    </row>
    <row r="13" spans="1:11" x14ac:dyDescent="0.35">
      <c r="A13" t="s">
        <v>124</v>
      </c>
      <c r="B13" t="s">
        <v>15</v>
      </c>
      <c r="C13" t="s">
        <v>176</v>
      </c>
      <c r="D13">
        <v>5</v>
      </c>
      <c r="E13">
        <v>5</v>
      </c>
      <c r="F13">
        <v>0</v>
      </c>
      <c r="G13" s="1">
        <v>44565</v>
      </c>
      <c r="H13" t="s">
        <v>184</v>
      </c>
      <c r="I13" t="s">
        <v>187</v>
      </c>
      <c r="J13" t="s">
        <v>94</v>
      </c>
      <c r="K13">
        <v>5</v>
      </c>
    </row>
    <row r="14" spans="1:11" x14ac:dyDescent="0.35">
      <c r="A14" t="s">
        <v>125</v>
      </c>
      <c r="B14" t="s">
        <v>28</v>
      </c>
      <c r="C14" t="s">
        <v>179</v>
      </c>
      <c r="D14">
        <v>9</v>
      </c>
      <c r="E14">
        <v>30</v>
      </c>
      <c r="F14">
        <v>10</v>
      </c>
      <c r="G14" s="1">
        <v>44999</v>
      </c>
      <c r="H14" t="s">
        <v>185</v>
      </c>
      <c r="I14" t="s">
        <v>188</v>
      </c>
      <c r="J14" t="s">
        <v>95</v>
      </c>
      <c r="K14">
        <v>3</v>
      </c>
    </row>
    <row r="15" spans="1:11" x14ac:dyDescent="0.35">
      <c r="A15" t="s">
        <v>126</v>
      </c>
      <c r="B15" t="s">
        <v>16</v>
      </c>
      <c r="C15" t="s">
        <v>179</v>
      </c>
      <c r="D15">
        <v>1</v>
      </c>
      <c r="E15">
        <v>30</v>
      </c>
      <c r="F15">
        <v>5</v>
      </c>
      <c r="G15" s="1">
        <v>45158</v>
      </c>
      <c r="H15" t="s">
        <v>185</v>
      </c>
      <c r="I15" t="s">
        <v>187</v>
      </c>
      <c r="J15" t="s">
        <v>94</v>
      </c>
      <c r="K15">
        <v>4</v>
      </c>
    </row>
    <row r="16" spans="1:11" x14ac:dyDescent="0.35">
      <c r="A16" t="s">
        <v>127</v>
      </c>
      <c r="B16" t="s">
        <v>20</v>
      </c>
      <c r="C16" t="s">
        <v>174</v>
      </c>
      <c r="D16">
        <v>6</v>
      </c>
      <c r="E16">
        <v>10</v>
      </c>
      <c r="F16">
        <v>0</v>
      </c>
      <c r="G16" s="1">
        <v>44928</v>
      </c>
      <c r="H16" t="s">
        <v>183</v>
      </c>
      <c r="I16" t="s">
        <v>187</v>
      </c>
      <c r="J16" t="s">
        <v>92</v>
      </c>
      <c r="K16">
        <v>5</v>
      </c>
    </row>
    <row r="17" spans="1:11" x14ac:dyDescent="0.35">
      <c r="A17" t="s">
        <v>128</v>
      </c>
      <c r="B17" t="s">
        <v>18</v>
      </c>
      <c r="C17" t="s">
        <v>180</v>
      </c>
      <c r="D17">
        <v>7</v>
      </c>
      <c r="E17">
        <v>10</v>
      </c>
      <c r="F17">
        <v>10</v>
      </c>
      <c r="G17" s="1">
        <v>44720</v>
      </c>
      <c r="H17" t="s">
        <v>183</v>
      </c>
      <c r="I17" t="s">
        <v>187</v>
      </c>
      <c r="J17" t="s">
        <v>92</v>
      </c>
      <c r="K17">
        <v>3</v>
      </c>
    </row>
    <row r="18" spans="1:11" x14ac:dyDescent="0.35">
      <c r="A18" t="s">
        <v>129</v>
      </c>
      <c r="B18" t="s">
        <v>38</v>
      </c>
      <c r="C18" t="s">
        <v>174</v>
      </c>
      <c r="D18">
        <v>6</v>
      </c>
      <c r="E18">
        <v>10</v>
      </c>
      <c r="F18">
        <v>5</v>
      </c>
      <c r="G18" s="1">
        <v>45247</v>
      </c>
      <c r="H18" t="s">
        <v>183</v>
      </c>
      <c r="I18" t="s">
        <v>190</v>
      </c>
      <c r="J18" t="s">
        <v>93</v>
      </c>
      <c r="K18">
        <v>3</v>
      </c>
    </row>
    <row r="19" spans="1:11" x14ac:dyDescent="0.35">
      <c r="A19" t="s">
        <v>130</v>
      </c>
      <c r="B19" t="s">
        <v>18</v>
      </c>
      <c r="C19" t="s">
        <v>177</v>
      </c>
      <c r="D19">
        <v>8</v>
      </c>
      <c r="E19">
        <v>20</v>
      </c>
      <c r="F19">
        <v>0</v>
      </c>
      <c r="G19" s="1">
        <v>44766</v>
      </c>
      <c r="H19" t="s">
        <v>186</v>
      </c>
      <c r="I19" t="s">
        <v>190</v>
      </c>
      <c r="J19" t="s">
        <v>92</v>
      </c>
      <c r="K19">
        <v>4</v>
      </c>
    </row>
    <row r="20" spans="1:11" x14ac:dyDescent="0.35">
      <c r="A20" t="s">
        <v>131</v>
      </c>
      <c r="B20" t="s">
        <v>26</v>
      </c>
      <c r="C20" t="s">
        <v>178</v>
      </c>
      <c r="D20">
        <v>4</v>
      </c>
      <c r="E20">
        <v>5</v>
      </c>
      <c r="F20">
        <v>5</v>
      </c>
      <c r="G20" s="1">
        <v>44898</v>
      </c>
      <c r="H20" t="s">
        <v>184</v>
      </c>
      <c r="I20" t="s">
        <v>188</v>
      </c>
      <c r="J20" t="s">
        <v>94</v>
      </c>
      <c r="K20">
        <v>4</v>
      </c>
    </row>
    <row r="21" spans="1:11" x14ac:dyDescent="0.35">
      <c r="A21" t="s">
        <v>132</v>
      </c>
      <c r="B21" t="s">
        <v>34</v>
      </c>
      <c r="C21" t="s">
        <v>175</v>
      </c>
      <c r="D21">
        <v>9</v>
      </c>
      <c r="E21">
        <v>15</v>
      </c>
      <c r="F21">
        <v>5</v>
      </c>
      <c r="G21" s="1">
        <v>44590</v>
      </c>
      <c r="H21" t="s">
        <v>68</v>
      </c>
      <c r="I21" t="s">
        <v>190</v>
      </c>
      <c r="J21" t="s">
        <v>96</v>
      </c>
      <c r="K21">
        <v>3</v>
      </c>
    </row>
    <row r="22" spans="1:11" x14ac:dyDescent="0.35">
      <c r="A22" t="s">
        <v>133</v>
      </c>
      <c r="B22" t="s">
        <v>49</v>
      </c>
      <c r="C22" t="s">
        <v>173</v>
      </c>
      <c r="D22">
        <v>2</v>
      </c>
      <c r="E22">
        <v>5</v>
      </c>
      <c r="F22">
        <v>10</v>
      </c>
      <c r="G22" s="1">
        <v>45006</v>
      </c>
      <c r="H22" t="s">
        <v>184</v>
      </c>
      <c r="I22" t="s">
        <v>190</v>
      </c>
      <c r="J22" t="s">
        <v>96</v>
      </c>
      <c r="K22">
        <v>4</v>
      </c>
    </row>
    <row r="23" spans="1:11" x14ac:dyDescent="0.35">
      <c r="A23" t="s">
        <v>134</v>
      </c>
      <c r="B23" t="s">
        <v>50</v>
      </c>
      <c r="C23" t="s">
        <v>175</v>
      </c>
      <c r="D23">
        <v>7</v>
      </c>
      <c r="E23">
        <v>15</v>
      </c>
      <c r="F23">
        <v>10</v>
      </c>
      <c r="G23" s="1">
        <v>44756</v>
      </c>
      <c r="H23" t="s">
        <v>184</v>
      </c>
      <c r="I23" t="s">
        <v>188</v>
      </c>
      <c r="J23" t="s">
        <v>92</v>
      </c>
      <c r="K23">
        <v>5</v>
      </c>
    </row>
    <row r="24" spans="1:11" x14ac:dyDescent="0.35">
      <c r="A24" t="s">
        <v>135</v>
      </c>
      <c r="B24" t="s">
        <v>39</v>
      </c>
      <c r="C24" t="s">
        <v>174</v>
      </c>
      <c r="D24">
        <v>9</v>
      </c>
      <c r="E24">
        <v>10</v>
      </c>
      <c r="F24">
        <v>10</v>
      </c>
      <c r="G24" s="1">
        <v>45248</v>
      </c>
      <c r="H24" t="s">
        <v>183</v>
      </c>
      <c r="I24" t="s">
        <v>190</v>
      </c>
      <c r="J24" t="s">
        <v>92</v>
      </c>
      <c r="K24">
        <v>4</v>
      </c>
    </row>
    <row r="25" spans="1:11" x14ac:dyDescent="0.35">
      <c r="A25" t="s">
        <v>136</v>
      </c>
      <c r="B25" t="s">
        <v>16</v>
      </c>
      <c r="C25" t="s">
        <v>180</v>
      </c>
      <c r="D25">
        <v>6</v>
      </c>
      <c r="E25">
        <v>10</v>
      </c>
      <c r="F25">
        <v>10</v>
      </c>
      <c r="G25" s="1">
        <v>44689</v>
      </c>
      <c r="H25" t="s">
        <v>184</v>
      </c>
      <c r="I25" t="s">
        <v>190</v>
      </c>
      <c r="J25" t="s">
        <v>94</v>
      </c>
      <c r="K25">
        <v>5</v>
      </c>
    </row>
    <row r="26" spans="1:11" x14ac:dyDescent="0.35">
      <c r="A26" t="s">
        <v>137</v>
      </c>
      <c r="B26" t="s">
        <v>38</v>
      </c>
      <c r="C26" t="s">
        <v>180</v>
      </c>
      <c r="D26">
        <v>5</v>
      </c>
      <c r="E26">
        <v>10</v>
      </c>
      <c r="F26">
        <v>10</v>
      </c>
      <c r="G26" s="1">
        <v>44692</v>
      </c>
      <c r="H26" t="s">
        <v>183</v>
      </c>
      <c r="I26" t="s">
        <v>189</v>
      </c>
      <c r="J26" t="s">
        <v>93</v>
      </c>
      <c r="K26">
        <v>5</v>
      </c>
    </row>
    <row r="27" spans="1:11" x14ac:dyDescent="0.35">
      <c r="A27" t="s">
        <v>138</v>
      </c>
      <c r="B27" t="s">
        <v>36</v>
      </c>
      <c r="C27" t="s">
        <v>179</v>
      </c>
      <c r="D27">
        <v>10</v>
      </c>
      <c r="E27">
        <v>30</v>
      </c>
      <c r="F27">
        <v>5</v>
      </c>
      <c r="G27" s="1">
        <v>44977</v>
      </c>
      <c r="H27" t="s">
        <v>185</v>
      </c>
      <c r="I27" t="s">
        <v>188</v>
      </c>
      <c r="J27" t="s">
        <v>96</v>
      </c>
      <c r="K27">
        <v>4</v>
      </c>
    </row>
    <row r="28" spans="1:11" x14ac:dyDescent="0.35">
      <c r="A28" t="s">
        <v>139</v>
      </c>
      <c r="B28" t="s">
        <v>30</v>
      </c>
      <c r="C28" t="s">
        <v>178</v>
      </c>
      <c r="D28">
        <v>10</v>
      </c>
      <c r="E28">
        <v>5</v>
      </c>
      <c r="F28">
        <v>10</v>
      </c>
      <c r="G28" s="1">
        <v>45232</v>
      </c>
      <c r="H28" t="s">
        <v>184</v>
      </c>
      <c r="I28" t="s">
        <v>189</v>
      </c>
      <c r="J28" t="s">
        <v>92</v>
      </c>
      <c r="K28">
        <v>4</v>
      </c>
    </row>
    <row r="29" spans="1:11" x14ac:dyDescent="0.35">
      <c r="A29" t="s">
        <v>140</v>
      </c>
      <c r="B29" t="s">
        <v>40</v>
      </c>
      <c r="C29" t="s">
        <v>178</v>
      </c>
      <c r="D29">
        <v>8</v>
      </c>
      <c r="E29">
        <v>5</v>
      </c>
      <c r="F29">
        <v>10</v>
      </c>
      <c r="G29" s="1">
        <v>44735</v>
      </c>
      <c r="H29" t="s">
        <v>68</v>
      </c>
      <c r="I29" t="s">
        <v>190</v>
      </c>
      <c r="J29" t="s">
        <v>94</v>
      </c>
      <c r="K29">
        <v>5</v>
      </c>
    </row>
    <row r="30" spans="1:11" x14ac:dyDescent="0.35">
      <c r="A30" t="s">
        <v>141</v>
      </c>
      <c r="B30" t="s">
        <v>51</v>
      </c>
      <c r="C30" t="s">
        <v>180</v>
      </c>
      <c r="D30">
        <v>4</v>
      </c>
      <c r="E30">
        <v>10</v>
      </c>
      <c r="F30">
        <v>10</v>
      </c>
      <c r="G30" s="1">
        <v>44879</v>
      </c>
      <c r="H30" t="s">
        <v>183</v>
      </c>
      <c r="I30" t="s">
        <v>187</v>
      </c>
      <c r="J30" t="s">
        <v>93</v>
      </c>
      <c r="K30">
        <v>3</v>
      </c>
    </row>
    <row r="31" spans="1:11" x14ac:dyDescent="0.35">
      <c r="A31" t="s">
        <v>142</v>
      </c>
      <c r="B31" t="s">
        <v>13</v>
      </c>
      <c r="C31" t="s">
        <v>174</v>
      </c>
      <c r="D31">
        <v>8</v>
      </c>
      <c r="E31">
        <v>10</v>
      </c>
      <c r="F31">
        <v>10</v>
      </c>
      <c r="G31" s="1">
        <v>44636</v>
      </c>
      <c r="H31" t="s">
        <v>186</v>
      </c>
      <c r="I31" t="s">
        <v>189</v>
      </c>
      <c r="J31" t="s">
        <v>92</v>
      </c>
      <c r="K31">
        <v>5</v>
      </c>
    </row>
    <row r="32" spans="1:11" x14ac:dyDescent="0.35">
      <c r="A32" t="s">
        <v>143</v>
      </c>
      <c r="B32" t="s">
        <v>48</v>
      </c>
      <c r="C32" t="s">
        <v>178</v>
      </c>
      <c r="D32">
        <v>8</v>
      </c>
      <c r="E32">
        <v>5</v>
      </c>
      <c r="F32">
        <v>5</v>
      </c>
      <c r="G32" s="1">
        <v>44811</v>
      </c>
      <c r="H32" t="s">
        <v>183</v>
      </c>
      <c r="I32" t="s">
        <v>188</v>
      </c>
      <c r="J32" t="s">
        <v>92</v>
      </c>
      <c r="K32">
        <v>3</v>
      </c>
    </row>
    <row r="33" spans="1:11" x14ac:dyDescent="0.35">
      <c r="A33" t="s">
        <v>144</v>
      </c>
      <c r="B33" t="s">
        <v>39</v>
      </c>
      <c r="C33" t="s">
        <v>178</v>
      </c>
      <c r="D33">
        <v>9</v>
      </c>
      <c r="E33">
        <v>5</v>
      </c>
      <c r="F33">
        <v>5</v>
      </c>
      <c r="G33" s="1">
        <v>44613</v>
      </c>
      <c r="H33" t="s">
        <v>185</v>
      </c>
      <c r="I33" t="s">
        <v>187</v>
      </c>
      <c r="J33" t="s">
        <v>92</v>
      </c>
      <c r="K33">
        <v>3</v>
      </c>
    </row>
    <row r="34" spans="1:11" x14ac:dyDescent="0.35">
      <c r="A34" t="s">
        <v>145</v>
      </c>
      <c r="B34" t="s">
        <v>41</v>
      </c>
      <c r="C34" t="s">
        <v>179</v>
      </c>
      <c r="D34">
        <v>9</v>
      </c>
      <c r="E34">
        <v>30</v>
      </c>
      <c r="F34">
        <v>10</v>
      </c>
      <c r="G34" s="1">
        <v>45171</v>
      </c>
      <c r="H34" t="s">
        <v>184</v>
      </c>
      <c r="I34" t="s">
        <v>189</v>
      </c>
      <c r="J34" t="s">
        <v>96</v>
      </c>
      <c r="K34">
        <v>5</v>
      </c>
    </row>
    <row r="35" spans="1:11" x14ac:dyDescent="0.35">
      <c r="A35" t="s">
        <v>146</v>
      </c>
      <c r="B35" t="s">
        <v>44</v>
      </c>
      <c r="C35" t="s">
        <v>177</v>
      </c>
      <c r="D35">
        <v>8</v>
      </c>
      <c r="E35">
        <v>20</v>
      </c>
      <c r="F35">
        <v>0</v>
      </c>
      <c r="G35" s="1">
        <v>45048</v>
      </c>
      <c r="H35" t="s">
        <v>186</v>
      </c>
      <c r="I35" t="s">
        <v>190</v>
      </c>
      <c r="J35" t="s">
        <v>94</v>
      </c>
      <c r="K35">
        <v>3</v>
      </c>
    </row>
    <row r="36" spans="1:11" x14ac:dyDescent="0.35">
      <c r="A36" t="s">
        <v>147</v>
      </c>
      <c r="B36" t="s">
        <v>29</v>
      </c>
      <c r="C36" t="s">
        <v>175</v>
      </c>
      <c r="D36">
        <v>4</v>
      </c>
      <c r="E36">
        <v>15</v>
      </c>
      <c r="F36">
        <v>5</v>
      </c>
      <c r="G36" s="1">
        <v>45012</v>
      </c>
      <c r="H36" t="s">
        <v>68</v>
      </c>
      <c r="I36" t="s">
        <v>190</v>
      </c>
      <c r="J36" t="s">
        <v>95</v>
      </c>
      <c r="K36">
        <v>3</v>
      </c>
    </row>
    <row r="37" spans="1:11" x14ac:dyDescent="0.35">
      <c r="A37" t="s">
        <v>148</v>
      </c>
      <c r="B37" t="s">
        <v>29</v>
      </c>
      <c r="C37" t="s">
        <v>180</v>
      </c>
      <c r="D37">
        <v>9</v>
      </c>
      <c r="E37">
        <v>10</v>
      </c>
      <c r="F37">
        <v>0</v>
      </c>
      <c r="G37" s="1">
        <v>44703</v>
      </c>
      <c r="H37" t="s">
        <v>183</v>
      </c>
      <c r="I37" t="s">
        <v>187</v>
      </c>
      <c r="J37" t="s">
        <v>95</v>
      </c>
      <c r="K37">
        <v>4</v>
      </c>
    </row>
    <row r="38" spans="1:11" x14ac:dyDescent="0.35">
      <c r="A38" t="s">
        <v>149</v>
      </c>
      <c r="B38" t="s">
        <v>21</v>
      </c>
      <c r="C38" t="s">
        <v>178</v>
      </c>
      <c r="D38">
        <v>7</v>
      </c>
      <c r="E38">
        <v>5</v>
      </c>
      <c r="F38">
        <v>5</v>
      </c>
      <c r="G38" s="1">
        <v>44900</v>
      </c>
      <c r="H38" t="s">
        <v>185</v>
      </c>
      <c r="I38" t="s">
        <v>189</v>
      </c>
      <c r="J38" t="s">
        <v>95</v>
      </c>
      <c r="K38">
        <v>4</v>
      </c>
    </row>
    <row r="39" spans="1:11" x14ac:dyDescent="0.35">
      <c r="A39" t="s">
        <v>150</v>
      </c>
      <c r="B39" t="s">
        <v>15</v>
      </c>
      <c r="C39" t="s">
        <v>178</v>
      </c>
      <c r="D39">
        <v>7</v>
      </c>
      <c r="E39">
        <v>5</v>
      </c>
      <c r="F39">
        <v>10</v>
      </c>
      <c r="G39" s="1">
        <v>45274</v>
      </c>
      <c r="H39" t="s">
        <v>68</v>
      </c>
      <c r="I39" t="s">
        <v>189</v>
      </c>
      <c r="J39" t="s">
        <v>94</v>
      </c>
      <c r="K39">
        <v>4</v>
      </c>
    </row>
    <row r="40" spans="1:11" x14ac:dyDescent="0.35">
      <c r="A40" t="s">
        <v>151</v>
      </c>
      <c r="B40" t="s">
        <v>12</v>
      </c>
      <c r="C40" t="s">
        <v>180</v>
      </c>
      <c r="D40">
        <v>7</v>
      </c>
      <c r="E40">
        <v>10</v>
      </c>
      <c r="F40">
        <v>5</v>
      </c>
      <c r="G40" s="1">
        <v>45113</v>
      </c>
      <c r="H40" t="s">
        <v>185</v>
      </c>
      <c r="I40" t="s">
        <v>187</v>
      </c>
      <c r="J40" t="s">
        <v>92</v>
      </c>
      <c r="K40">
        <v>4</v>
      </c>
    </row>
    <row r="41" spans="1:11" x14ac:dyDescent="0.35">
      <c r="A41" t="s">
        <v>152</v>
      </c>
      <c r="B41" t="s">
        <v>26</v>
      </c>
      <c r="C41" t="s">
        <v>173</v>
      </c>
      <c r="D41">
        <v>8</v>
      </c>
      <c r="E41">
        <v>5</v>
      </c>
      <c r="F41">
        <v>0</v>
      </c>
      <c r="G41" s="1">
        <v>44960</v>
      </c>
      <c r="H41" t="s">
        <v>184</v>
      </c>
      <c r="I41" t="s">
        <v>189</v>
      </c>
      <c r="J41" t="s">
        <v>94</v>
      </c>
      <c r="K41">
        <v>5</v>
      </c>
    </row>
    <row r="42" spans="1:11" x14ac:dyDescent="0.35">
      <c r="A42" t="s">
        <v>153</v>
      </c>
      <c r="B42" t="s">
        <v>22</v>
      </c>
      <c r="C42" t="s">
        <v>181</v>
      </c>
      <c r="D42">
        <v>10</v>
      </c>
      <c r="E42">
        <v>25</v>
      </c>
      <c r="F42">
        <v>10</v>
      </c>
      <c r="G42" s="1">
        <v>44589</v>
      </c>
      <c r="H42" t="s">
        <v>186</v>
      </c>
      <c r="I42" t="s">
        <v>188</v>
      </c>
      <c r="J42" t="s">
        <v>96</v>
      </c>
      <c r="K42">
        <v>3</v>
      </c>
    </row>
    <row r="43" spans="1:11" x14ac:dyDescent="0.35">
      <c r="A43" t="s">
        <v>154</v>
      </c>
      <c r="B43" t="s">
        <v>39</v>
      </c>
      <c r="C43" t="s">
        <v>179</v>
      </c>
      <c r="D43">
        <v>3</v>
      </c>
      <c r="E43">
        <v>30</v>
      </c>
      <c r="F43">
        <v>0</v>
      </c>
      <c r="G43" s="1">
        <v>44828</v>
      </c>
      <c r="H43" t="s">
        <v>186</v>
      </c>
      <c r="I43" t="s">
        <v>190</v>
      </c>
      <c r="J43" t="s">
        <v>92</v>
      </c>
      <c r="K43">
        <v>3</v>
      </c>
    </row>
    <row r="44" spans="1:11" x14ac:dyDescent="0.35">
      <c r="A44" t="s">
        <v>155</v>
      </c>
      <c r="B44" t="s">
        <v>41</v>
      </c>
      <c r="C44" t="s">
        <v>180</v>
      </c>
      <c r="D44">
        <v>7</v>
      </c>
      <c r="E44">
        <v>10</v>
      </c>
      <c r="F44">
        <v>5</v>
      </c>
      <c r="G44" s="1">
        <v>44993</v>
      </c>
      <c r="H44" t="s">
        <v>184</v>
      </c>
      <c r="I44" t="s">
        <v>188</v>
      </c>
      <c r="J44" t="s">
        <v>96</v>
      </c>
      <c r="K44">
        <v>4</v>
      </c>
    </row>
    <row r="45" spans="1:11" x14ac:dyDescent="0.35">
      <c r="A45" t="s">
        <v>156</v>
      </c>
      <c r="B45" t="s">
        <v>13</v>
      </c>
      <c r="C45" t="s">
        <v>175</v>
      </c>
      <c r="D45">
        <v>6</v>
      </c>
      <c r="E45">
        <v>15</v>
      </c>
      <c r="F45">
        <v>0</v>
      </c>
      <c r="G45" s="1">
        <v>45227</v>
      </c>
      <c r="H45" t="s">
        <v>68</v>
      </c>
      <c r="I45" t="s">
        <v>188</v>
      </c>
      <c r="J45" t="s">
        <v>92</v>
      </c>
      <c r="K45">
        <v>3</v>
      </c>
    </row>
    <row r="46" spans="1:11" x14ac:dyDescent="0.35">
      <c r="A46" t="s">
        <v>157</v>
      </c>
      <c r="B46" t="s">
        <v>27</v>
      </c>
      <c r="C46" t="s">
        <v>178</v>
      </c>
      <c r="D46">
        <v>10</v>
      </c>
      <c r="E46">
        <v>5</v>
      </c>
      <c r="F46">
        <v>0</v>
      </c>
      <c r="G46" s="1">
        <v>44806</v>
      </c>
      <c r="H46" t="s">
        <v>183</v>
      </c>
      <c r="I46" t="s">
        <v>189</v>
      </c>
      <c r="J46" t="s">
        <v>94</v>
      </c>
      <c r="K46">
        <v>5</v>
      </c>
    </row>
    <row r="47" spans="1:11" x14ac:dyDescent="0.35">
      <c r="A47" t="s">
        <v>158</v>
      </c>
      <c r="B47" t="s">
        <v>19</v>
      </c>
      <c r="C47" t="s">
        <v>182</v>
      </c>
      <c r="D47">
        <v>8</v>
      </c>
      <c r="E47">
        <v>10</v>
      </c>
      <c r="F47">
        <v>10</v>
      </c>
      <c r="G47" s="1">
        <v>44824</v>
      </c>
      <c r="H47" t="s">
        <v>184</v>
      </c>
      <c r="I47" t="s">
        <v>187</v>
      </c>
      <c r="J47" t="s">
        <v>95</v>
      </c>
      <c r="K47">
        <v>5</v>
      </c>
    </row>
    <row r="48" spans="1:11" x14ac:dyDescent="0.35">
      <c r="A48" t="s">
        <v>159</v>
      </c>
      <c r="B48" t="s">
        <v>50</v>
      </c>
      <c r="C48" t="s">
        <v>176</v>
      </c>
      <c r="D48">
        <v>5</v>
      </c>
      <c r="E48">
        <v>5</v>
      </c>
      <c r="F48">
        <v>0</v>
      </c>
      <c r="G48" s="1">
        <v>45154</v>
      </c>
      <c r="H48" t="s">
        <v>68</v>
      </c>
      <c r="I48" t="s">
        <v>190</v>
      </c>
      <c r="J48" t="s">
        <v>92</v>
      </c>
      <c r="K48">
        <v>5</v>
      </c>
    </row>
    <row r="49" spans="1:11" x14ac:dyDescent="0.35">
      <c r="A49" t="s">
        <v>160</v>
      </c>
      <c r="B49" t="s">
        <v>36</v>
      </c>
      <c r="C49" t="s">
        <v>177</v>
      </c>
      <c r="D49">
        <v>2</v>
      </c>
      <c r="E49">
        <v>20</v>
      </c>
      <c r="F49">
        <v>10</v>
      </c>
      <c r="G49" s="1">
        <v>45269</v>
      </c>
      <c r="H49" t="s">
        <v>183</v>
      </c>
      <c r="I49" t="s">
        <v>188</v>
      </c>
      <c r="J49" t="s">
        <v>96</v>
      </c>
      <c r="K49">
        <v>5</v>
      </c>
    </row>
    <row r="50" spans="1:11" x14ac:dyDescent="0.35">
      <c r="A50" t="s">
        <v>161</v>
      </c>
      <c r="B50" t="s">
        <v>31</v>
      </c>
      <c r="C50" t="s">
        <v>182</v>
      </c>
      <c r="D50">
        <v>10</v>
      </c>
      <c r="E50">
        <v>10</v>
      </c>
      <c r="F50">
        <v>0</v>
      </c>
      <c r="G50" s="1">
        <v>44917</v>
      </c>
      <c r="H50" t="s">
        <v>185</v>
      </c>
      <c r="I50" t="s">
        <v>189</v>
      </c>
      <c r="J50" t="s">
        <v>95</v>
      </c>
      <c r="K50">
        <v>5</v>
      </c>
    </row>
    <row r="51" spans="1:11" x14ac:dyDescent="0.35">
      <c r="A51" t="s">
        <v>162</v>
      </c>
      <c r="B51" t="s">
        <v>35</v>
      </c>
      <c r="C51" t="s">
        <v>176</v>
      </c>
      <c r="D51">
        <v>6</v>
      </c>
      <c r="E51">
        <v>5</v>
      </c>
      <c r="F51">
        <v>0</v>
      </c>
      <c r="G51" s="1">
        <v>44992</v>
      </c>
      <c r="H51" t="s">
        <v>186</v>
      </c>
      <c r="I51" t="s">
        <v>188</v>
      </c>
      <c r="J51" t="s">
        <v>94</v>
      </c>
      <c r="K51">
        <v>4</v>
      </c>
    </row>
    <row r="52" spans="1:11" x14ac:dyDescent="0.35">
      <c r="A52" t="s">
        <v>163</v>
      </c>
      <c r="B52" t="s">
        <v>35</v>
      </c>
      <c r="C52" t="s">
        <v>181</v>
      </c>
      <c r="D52">
        <v>7</v>
      </c>
      <c r="E52">
        <v>25</v>
      </c>
      <c r="F52">
        <v>0</v>
      </c>
      <c r="G52" s="1">
        <v>45096</v>
      </c>
      <c r="H52" t="s">
        <v>184</v>
      </c>
      <c r="I52" t="s">
        <v>189</v>
      </c>
      <c r="J52" t="s">
        <v>94</v>
      </c>
      <c r="K52">
        <v>4</v>
      </c>
    </row>
    <row r="53" spans="1:11" x14ac:dyDescent="0.35">
      <c r="A53" t="s">
        <v>164</v>
      </c>
      <c r="B53" t="s">
        <v>39</v>
      </c>
      <c r="C53" t="s">
        <v>182</v>
      </c>
      <c r="D53">
        <v>6</v>
      </c>
      <c r="E53">
        <v>10</v>
      </c>
      <c r="F53">
        <v>0</v>
      </c>
      <c r="G53" s="1">
        <v>44650</v>
      </c>
      <c r="H53" t="s">
        <v>184</v>
      </c>
      <c r="I53" t="s">
        <v>189</v>
      </c>
      <c r="J53" t="s">
        <v>92</v>
      </c>
      <c r="K53">
        <v>3</v>
      </c>
    </row>
    <row r="54" spans="1:11" x14ac:dyDescent="0.35">
      <c r="A54" t="s">
        <v>165</v>
      </c>
      <c r="B54" t="s">
        <v>41</v>
      </c>
      <c r="C54" t="s">
        <v>182</v>
      </c>
      <c r="D54">
        <v>7</v>
      </c>
      <c r="E54">
        <v>10</v>
      </c>
      <c r="F54">
        <v>5</v>
      </c>
      <c r="G54" s="1">
        <v>44591</v>
      </c>
      <c r="H54" t="s">
        <v>186</v>
      </c>
      <c r="I54" t="s">
        <v>190</v>
      </c>
      <c r="J54" t="s">
        <v>96</v>
      </c>
      <c r="K54">
        <v>3</v>
      </c>
    </row>
    <row r="55" spans="1:11" x14ac:dyDescent="0.35">
      <c r="A55" t="s">
        <v>166</v>
      </c>
      <c r="B55" t="s">
        <v>43</v>
      </c>
      <c r="C55" t="s">
        <v>178</v>
      </c>
      <c r="D55">
        <v>5</v>
      </c>
      <c r="E55">
        <v>5</v>
      </c>
      <c r="F55">
        <v>5</v>
      </c>
      <c r="G55" s="1">
        <v>44848</v>
      </c>
      <c r="H55" t="s">
        <v>185</v>
      </c>
      <c r="I55" t="s">
        <v>190</v>
      </c>
      <c r="J55" t="s">
        <v>93</v>
      </c>
      <c r="K55">
        <v>5</v>
      </c>
    </row>
    <row r="56" spans="1:11" x14ac:dyDescent="0.35">
      <c r="A56" t="s">
        <v>167</v>
      </c>
      <c r="B56" t="s">
        <v>12</v>
      </c>
      <c r="C56" t="s">
        <v>175</v>
      </c>
      <c r="D56">
        <v>2</v>
      </c>
      <c r="E56">
        <v>15</v>
      </c>
      <c r="F56">
        <v>0</v>
      </c>
      <c r="G56" s="1">
        <v>44978</v>
      </c>
      <c r="H56" t="s">
        <v>186</v>
      </c>
      <c r="I56" t="s">
        <v>187</v>
      </c>
      <c r="J56" t="s">
        <v>92</v>
      </c>
      <c r="K56">
        <v>5</v>
      </c>
    </row>
    <row r="57" spans="1:11" x14ac:dyDescent="0.35">
      <c r="A57" t="s">
        <v>168</v>
      </c>
      <c r="B57" t="s">
        <v>42</v>
      </c>
      <c r="C57" t="s">
        <v>181</v>
      </c>
      <c r="D57">
        <v>1</v>
      </c>
      <c r="E57">
        <v>25</v>
      </c>
      <c r="F57">
        <v>0</v>
      </c>
      <c r="G57" s="1">
        <v>44863</v>
      </c>
      <c r="H57" t="s">
        <v>183</v>
      </c>
      <c r="I57" t="s">
        <v>189</v>
      </c>
      <c r="J57" t="s">
        <v>93</v>
      </c>
      <c r="K57">
        <v>5</v>
      </c>
    </row>
    <row r="58" spans="1:11" x14ac:dyDescent="0.35">
      <c r="A58" t="s">
        <v>169</v>
      </c>
      <c r="B58" t="s">
        <v>27</v>
      </c>
      <c r="C58" t="s">
        <v>173</v>
      </c>
      <c r="D58">
        <v>6</v>
      </c>
      <c r="E58">
        <v>5</v>
      </c>
      <c r="F58">
        <v>5</v>
      </c>
      <c r="G58" s="1">
        <v>45128</v>
      </c>
      <c r="H58" t="s">
        <v>185</v>
      </c>
      <c r="I58" t="s">
        <v>190</v>
      </c>
      <c r="J58" t="s">
        <v>94</v>
      </c>
      <c r="K58">
        <v>4</v>
      </c>
    </row>
    <row r="59" spans="1:11" x14ac:dyDescent="0.35">
      <c r="A59" t="s">
        <v>170</v>
      </c>
      <c r="B59" t="s">
        <v>47</v>
      </c>
      <c r="C59" t="s">
        <v>180</v>
      </c>
      <c r="D59">
        <v>8</v>
      </c>
      <c r="E59">
        <v>10</v>
      </c>
      <c r="F59">
        <v>5</v>
      </c>
      <c r="G59" s="1">
        <v>44875</v>
      </c>
      <c r="H59" t="s">
        <v>184</v>
      </c>
      <c r="I59" t="s">
        <v>187</v>
      </c>
      <c r="J59" t="s">
        <v>92</v>
      </c>
      <c r="K59">
        <v>3</v>
      </c>
    </row>
    <row r="60" spans="1:11" x14ac:dyDescent="0.35">
      <c r="A60" t="s">
        <v>171</v>
      </c>
      <c r="B60" t="s">
        <v>24</v>
      </c>
      <c r="C60" t="s">
        <v>180</v>
      </c>
      <c r="D60">
        <v>9</v>
      </c>
      <c r="E60">
        <v>10</v>
      </c>
      <c r="F60">
        <v>10</v>
      </c>
      <c r="G60" s="1">
        <v>44751</v>
      </c>
      <c r="H60" t="s">
        <v>183</v>
      </c>
      <c r="I60" t="s">
        <v>187</v>
      </c>
      <c r="J60" t="s">
        <v>92</v>
      </c>
      <c r="K60">
        <v>5</v>
      </c>
    </row>
    <row r="61" spans="1:11" x14ac:dyDescent="0.35">
      <c r="A61" t="s">
        <v>172</v>
      </c>
      <c r="B61" t="s">
        <v>42</v>
      </c>
      <c r="C61" t="s">
        <v>173</v>
      </c>
      <c r="D61">
        <v>9</v>
      </c>
      <c r="E61">
        <v>5</v>
      </c>
      <c r="F61">
        <v>10</v>
      </c>
      <c r="G61" s="1">
        <v>44851</v>
      </c>
      <c r="H61" t="s">
        <v>68</v>
      </c>
      <c r="I61" t="s">
        <v>187</v>
      </c>
      <c r="J61" t="s">
        <v>93</v>
      </c>
      <c r="K61">
        <v>4</v>
      </c>
    </row>
    <row r="63" spans="1:11" x14ac:dyDescent="0.35">
      <c r="D63">
        <f>SUM(D2:D61)</f>
        <v>399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L14"/>
  <sheetViews>
    <sheetView workbookViewId="0">
      <selection activeCell="B14" sqref="B14"/>
    </sheetView>
  </sheetViews>
  <sheetFormatPr defaultRowHeight="14.5" x14ac:dyDescent="0.35"/>
  <cols>
    <col min="1" max="1" width="11.26953125" customWidth="1"/>
    <col min="2" max="2" width="14.6328125" customWidth="1"/>
    <col min="3" max="3" width="10.26953125" customWidth="1"/>
    <col min="5" max="5" width="10.36328125" customWidth="1"/>
    <col min="6" max="6" width="10.453125" customWidth="1"/>
    <col min="7" max="7" width="9.6328125" customWidth="1"/>
    <col min="8" max="8" width="9.26953125" customWidth="1"/>
    <col min="9" max="9" width="18" customWidth="1"/>
    <col min="10" max="10" width="13.453125" customWidth="1"/>
    <col min="11" max="11" width="12.6328125" customWidth="1"/>
    <col min="12" max="12" width="13.7265625" customWidth="1"/>
  </cols>
  <sheetData>
    <row r="1" spans="1:12" x14ac:dyDescent="0.35">
      <c r="A1" s="2" t="s">
        <v>191</v>
      </c>
      <c r="B1" s="2" t="s">
        <v>192</v>
      </c>
      <c r="C1" s="2" t="s">
        <v>193</v>
      </c>
      <c r="D1" s="2" t="s">
        <v>194</v>
      </c>
      <c r="E1" s="2" t="s">
        <v>195</v>
      </c>
      <c r="F1" s="2" t="s">
        <v>107</v>
      </c>
      <c r="G1" s="2" t="s">
        <v>196</v>
      </c>
      <c r="H1" s="2" t="s">
        <v>197</v>
      </c>
      <c r="I1" s="2" t="s">
        <v>198</v>
      </c>
      <c r="J1" s="2" t="s">
        <v>199</v>
      </c>
      <c r="K1" s="2" t="s">
        <v>200</v>
      </c>
      <c r="L1" s="2" t="s">
        <v>201</v>
      </c>
    </row>
    <row r="2" spans="1:12" x14ac:dyDescent="0.35">
      <c r="A2" t="s">
        <v>202</v>
      </c>
      <c r="B2" t="s">
        <v>174</v>
      </c>
      <c r="C2" t="s">
        <v>212</v>
      </c>
      <c r="D2" t="s">
        <v>215</v>
      </c>
      <c r="E2">
        <v>178</v>
      </c>
      <c r="F2">
        <v>10</v>
      </c>
      <c r="G2" t="s">
        <v>218</v>
      </c>
      <c r="H2" t="b">
        <v>1</v>
      </c>
      <c r="I2" s="1">
        <v>44622</v>
      </c>
      <c r="J2">
        <v>12</v>
      </c>
      <c r="K2">
        <v>181</v>
      </c>
      <c r="L2">
        <v>29</v>
      </c>
    </row>
    <row r="3" spans="1:12" x14ac:dyDescent="0.35">
      <c r="A3" t="s">
        <v>203</v>
      </c>
      <c r="B3" t="s">
        <v>176</v>
      </c>
      <c r="C3" t="s">
        <v>213</v>
      </c>
      <c r="D3" t="s">
        <v>216</v>
      </c>
      <c r="E3">
        <v>170</v>
      </c>
      <c r="F3">
        <v>5</v>
      </c>
      <c r="G3" t="s">
        <v>218</v>
      </c>
      <c r="H3" t="b">
        <v>0</v>
      </c>
      <c r="I3" s="1">
        <v>44847</v>
      </c>
      <c r="J3">
        <v>12</v>
      </c>
      <c r="K3">
        <v>161</v>
      </c>
      <c r="L3">
        <v>21</v>
      </c>
    </row>
    <row r="4" spans="1:12" x14ac:dyDescent="0.35">
      <c r="A4" t="s">
        <v>204</v>
      </c>
      <c r="B4" t="s">
        <v>179</v>
      </c>
      <c r="C4" t="s">
        <v>212</v>
      </c>
      <c r="D4" t="s">
        <v>217</v>
      </c>
      <c r="E4">
        <v>76</v>
      </c>
      <c r="F4">
        <v>30</v>
      </c>
      <c r="G4" t="s">
        <v>218</v>
      </c>
      <c r="H4" t="b">
        <v>0</v>
      </c>
      <c r="I4" s="1">
        <v>44775</v>
      </c>
      <c r="J4">
        <v>18</v>
      </c>
      <c r="K4">
        <v>68</v>
      </c>
      <c r="L4">
        <v>16</v>
      </c>
    </row>
    <row r="5" spans="1:12" x14ac:dyDescent="0.35">
      <c r="A5" t="s">
        <v>205</v>
      </c>
      <c r="B5" t="s">
        <v>178</v>
      </c>
      <c r="C5" t="s">
        <v>213</v>
      </c>
      <c r="D5" t="s">
        <v>216</v>
      </c>
      <c r="E5">
        <v>170</v>
      </c>
      <c r="F5">
        <v>5</v>
      </c>
      <c r="G5" t="s">
        <v>218</v>
      </c>
      <c r="H5" t="b">
        <v>1</v>
      </c>
      <c r="I5" s="1">
        <v>44872</v>
      </c>
      <c r="J5">
        <v>12</v>
      </c>
      <c r="K5">
        <v>127</v>
      </c>
      <c r="L5">
        <v>11</v>
      </c>
    </row>
    <row r="6" spans="1:12" x14ac:dyDescent="0.35">
      <c r="A6" t="s">
        <v>206</v>
      </c>
      <c r="B6" t="s">
        <v>173</v>
      </c>
      <c r="C6" t="s">
        <v>212</v>
      </c>
      <c r="D6" t="s">
        <v>215</v>
      </c>
      <c r="E6">
        <v>165</v>
      </c>
      <c r="F6">
        <v>5</v>
      </c>
      <c r="G6" t="s">
        <v>218</v>
      </c>
      <c r="H6" t="b">
        <v>1</v>
      </c>
      <c r="I6" s="1">
        <v>44867</v>
      </c>
      <c r="J6">
        <v>12</v>
      </c>
      <c r="K6">
        <v>169</v>
      </c>
      <c r="L6">
        <v>12</v>
      </c>
    </row>
    <row r="7" spans="1:12" x14ac:dyDescent="0.35">
      <c r="A7" t="s">
        <v>207</v>
      </c>
      <c r="B7" t="s">
        <v>180</v>
      </c>
      <c r="C7" t="s">
        <v>214</v>
      </c>
      <c r="D7" t="s">
        <v>216</v>
      </c>
      <c r="E7">
        <v>52</v>
      </c>
      <c r="F7">
        <v>10</v>
      </c>
      <c r="G7" t="s">
        <v>219</v>
      </c>
      <c r="H7" t="b">
        <v>1</v>
      </c>
      <c r="I7" s="1">
        <v>44878</v>
      </c>
      <c r="J7">
        <v>18</v>
      </c>
      <c r="K7">
        <v>105</v>
      </c>
      <c r="L7">
        <v>26</v>
      </c>
    </row>
    <row r="8" spans="1:12" x14ac:dyDescent="0.35">
      <c r="A8" t="s">
        <v>208</v>
      </c>
      <c r="B8" t="s">
        <v>177</v>
      </c>
      <c r="C8" t="s">
        <v>214</v>
      </c>
      <c r="D8" t="s">
        <v>217</v>
      </c>
      <c r="E8">
        <v>152</v>
      </c>
      <c r="F8">
        <v>20</v>
      </c>
      <c r="G8" t="s">
        <v>219</v>
      </c>
      <c r="H8" t="b">
        <v>1</v>
      </c>
      <c r="I8" s="1">
        <v>44677</v>
      </c>
      <c r="J8">
        <v>18</v>
      </c>
      <c r="K8">
        <v>189</v>
      </c>
      <c r="L8">
        <v>14</v>
      </c>
    </row>
    <row r="9" spans="1:12" x14ac:dyDescent="0.35">
      <c r="A9" t="s">
        <v>209</v>
      </c>
      <c r="B9" t="s">
        <v>181</v>
      </c>
      <c r="C9" t="s">
        <v>212</v>
      </c>
      <c r="D9" t="s">
        <v>215</v>
      </c>
      <c r="E9">
        <v>186</v>
      </c>
      <c r="F9">
        <v>25</v>
      </c>
      <c r="G9" t="s">
        <v>218</v>
      </c>
      <c r="H9" t="b">
        <v>0</v>
      </c>
      <c r="I9" s="1">
        <v>44829</v>
      </c>
      <c r="J9">
        <v>5</v>
      </c>
      <c r="K9">
        <v>122</v>
      </c>
      <c r="L9">
        <v>26</v>
      </c>
    </row>
    <row r="10" spans="1:12" x14ac:dyDescent="0.35">
      <c r="A10" t="s">
        <v>210</v>
      </c>
      <c r="B10" t="s">
        <v>175</v>
      </c>
      <c r="C10" t="s">
        <v>213</v>
      </c>
      <c r="D10" t="s">
        <v>215</v>
      </c>
      <c r="E10">
        <v>111</v>
      </c>
      <c r="F10">
        <v>15</v>
      </c>
      <c r="G10" t="s">
        <v>218</v>
      </c>
      <c r="H10" t="b">
        <v>1</v>
      </c>
      <c r="I10" s="1">
        <v>44756</v>
      </c>
      <c r="J10">
        <v>18</v>
      </c>
      <c r="K10">
        <v>71</v>
      </c>
      <c r="L10">
        <v>26</v>
      </c>
    </row>
    <row r="11" spans="1:12" x14ac:dyDescent="0.35">
      <c r="A11" t="s">
        <v>211</v>
      </c>
      <c r="B11" t="s">
        <v>182</v>
      </c>
      <c r="C11" t="s">
        <v>212</v>
      </c>
      <c r="D11" t="s">
        <v>216</v>
      </c>
      <c r="E11">
        <v>100</v>
      </c>
      <c r="F11">
        <v>10</v>
      </c>
      <c r="G11" t="s">
        <v>219</v>
      </c>
      <c r="H11" t="b">
        <v>1</v>
      </c>
      <c r="I11" s="1">
        <v>44792</v>
      </c>
      <c r="J11">
        <v>18</v>
      </c>
      <c r="K11">
        <v>195</v>
      </c>
      <c r="L11">
        <v>26</v>
      </c>
    </row>
    <row r="14" spans="1:12" x14ac:dyDescent="0.35">
      <c r="B14">
        <f>COUNTA(B2:B11)</f>
        <v>10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Students</vt:lpstr>
      <vt:lpstr>Sales</vt:lpstr>
      <vt:lpstr>Products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Kumaran M</dc:creator>
  <cp:lastModifiedBy>Kumaran M</cp:lastModifiedBy>
  <dcterms:created xsi:type="dcterms:W3CDTF">2025-07-23T18:45:21Z</dcterms:created>
  <dcterms:modified xsi:type="dcterms:W3CDTF">2026-04-23T16:21:33Z</dcterms:modified>
</cp:coreProperties>
</file>